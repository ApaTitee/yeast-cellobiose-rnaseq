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519 genes" sheetId="7" r:id="rId1"/>
    <sheet name="19 transcription factor genes" sheetId="4" r:id="rId2"/>
    <sheet name="7 regulatory genes in GRNs" sheetId="9" r:id="rId3"/>
  </sheets>
  <definedNames>
    <definedName name="_xlnm._FilterDatabase" localSheetId="0" hidden="1">'519 genes'!$A$2:$D$524</definedName>
  </definedNames>
  <calcPr calcId="152511"/>
</workbook>
</file>

<file path=xl/calcChain.xml><?xml version="1.0" encoding="utf-8"?>
<calcChain xmlns="http://schemas.openxmlformats.org/spreadsheetml/2006/main">
  <c r="C22" i="4" l="1"/>
  <c r="C21" i="4"/>
  <c r="C20" i="4"/>
  <c r="C19" i="4"/>
  <c r="C18" i="4"/>
  <c r="C17" i="4"/>
  <c r="C16" i="4"/>
  <c r="C15" i="4"/>
  <c r="C14" i="4"/>
  <c r="C13" i="4"/>
  <c r="C12" i="4"/>
  <c r="C11" i="4"/>
  <c r="C9" i="4"/>
  <c r="C8" i="4"/>
  <c r="C6" i="4"/>
  <c r="C5" i="4"/>
  <c r="C4" i="4"/>
</calcChain>
</file>

<file path=xl/sharedStrings.xml><?xml version="1.0" encoding="utf-8"?>
<sst xmlns="http://schemas.openxmlformats.org/spreadsheetml/2006/main" count="1681" uniqueCount="1394">
  <si>
    <t>Feature ID</t>
  </si>
  <si>
    <t>FDR p-value correction</t>
  </si>
  <si>
    <t>Database object name</t>
  </si>
  <si>
    <t>Synonym</t>
  </si>
  <si>
    <t>HSP30</t>
  </si>
  <si>
    <t>Negative regulator of the H(+)-ATPase Pma1p</t>
  </si>
  <si>
    <t>YCR021C|YRO1</t>
  </si>
  <si>
    <t>Putative protein of unknown function</t>
  </si>
  <si>
    <t>TMA10</t>
  </si>
  <si>
    <t>Protein of unknown function that associates with ribosomes</t>
  </si>
  <si>
    <t>YLR327C|RBF9|SFL2</t>
  </si>
  <si>
    <t>Small heat shock protein (sHSP) with chaperone activity</t>
  </si>
  <si>
    <t>SPI1</t>
  </si>
  <si>
    <t>GPI-anchored cell wall protein involved in weak acid resistance</t>
  </si>
  <si>
    <t>YER150W</t>
  </si>
  <si>
    <t>RRT15</t>
  </si>
  <si>
    <t>YLR162W-A</t>
  </si>
  <si>
    <t>TAR1</t>
  </si>
  <si>
    <t>Protein potentially involved in regulation of respiratory metabolism</t>
  </si>
  <si>
    <t>YLR154W-C|YLR154W-A</t>
  </si>
  <si>
    <t>YLR154C-G</t>
  </si>
  <si>
    <t>YNL194C</t>
  </si>
  <si>
    <t>Integral membrane protein</t>
  </si>
  <si>
    <t>HSP104</t>
  </si>
  <si>
    <t>Disaggregase</t>
  </si>
  <si>
    <t>YLL026W|chaperone ATPase HSP104</t>
  </si>
  <si>
    <t>QCR10</t>
  </si>
  <si>
    <t>Subunit of the ubiqunol-cytochrome c oxidoreductase complex</t>
  </si>
  <si>
    <t>YHR001W-A|ubiquinol--cytochrome-c reductase subunit 10</t>
  </si>
  <si>
    <t>SPG1</t>
  </si>
  <si>
    <t>Protein required for high temperature survival during stationary phase</t>
  </si>
  <si>
    <t>YGR236C</t>
  </si>
  <si>
    <t>QCR8</t>
  </si>
  <si>
    <t>Subunit 8 of ubiquinol cytochrome-c reductase (Complex III)</t>
  </si>
  <si>
    <t>YJL166W|COR5|ubiquinol--cytochrome-c reductase subunit 8</t>
  </si>
  <si>
    <t>RGI1</t>
  </si>
  <si>
    <t>Protein of unknown function</t>
  </si>
  <si>
    <t>YER067W</t>
  </si>
  <si>
    <t>YER084W</t>
  </si>
  <si>
    <t>HSP26</t>
  </si>
  <si>
    <t>YBR072W</t>
  </si>
  <si>
    <t>RTC3</t>
  </si>
  <si>
    <t>Protein of unknown function involved in RNA metabolism</t>
  </si>
  <si>
    <t>YHR087W|HGI1</t>
  </si>
  <si>
    <t>CYC7</t>
  </si>
  <si>
    <t>Cytochrome c isoform 2, expressed under hypoxic conditions</t>
  </si>
  <si>
    <t>YEL039C</t>
  </si>
  <si>
    <t>COX7</t>
  </si>
  <si>
    <t>Subunit VII of cytochrome c oxidase (Complex IV)</t>
  </si>
  <si>
    <t>YMR256C|cytochrome c oxidase subunit VII</t>
  </si>
  <si>
    <t>YNR034W-A</t>
  </si>
  <si>
    <t>COA2</t>
  </si>
  <si>
    <t>Cytochrome oxidase assembly factor</t>
  </si>
  <si>
    <t>YPL189C-A</t>
  </si>
  <si>
    <t>YNL195C</t>
  </si>
  <si>
    <t>REG2</t>
  </si>
  <si>
    <t>Regulatory subunit of the Glc7p type-1 protein phosphatase</t>
  </si>
  <si>
    <t>YBR050C</t>
  </si>
  <si>
    <t>USV1</t>
  </si>
  <si>
    <t>Putative transcription factor containing a C2H2 zinc finger</t>
  </si>
  <si>
    <t>YPL230W|NSF1</t>
  </si>
  <si>
    <t>GPX1</t>
  </si>
  <si>
    <t>Phospholipid hydroperoxide glutathione peroxidase</t>
  </si>
  <si>
    <t>YKL026C|glutathione peroxidase GPX1</t>
  </si>
  <si>
    <t>YJR115W</t>
  </si>
  <si>
    <t>YER053C-A</t>
  </si>
  <si>
    <t>YGR174W-A</t>
  </si>
  <si>
    <t>HAP4</t>
  </si>
  <si>
    <t>Transcription factor</t>
  </si>
  <si>
    <t>YKL109W</t>
  </si>
  <si>
    <t>GAC1</t>
  </si>
  <si>
    <t>Regulatory subunit for Glc7p type-1 protein phosphatase (PP1)</t>
  </si>
  <si>
    <t>YOR178C</t>
  </si>
  <si>
    <t>IGD1</t>
  </si>
  <si>
    <t>Cytoplasmic protein that inhibits Gdb1p glycogen debranching activity</t>
  </si>
  <si>
    <t>YFR017C</t>
  </si>
  <si>
    <t>COX13</t>
  </si>
  <si>
    <t>Subunit VIa of cytochrome c oxidase</t>
  </si>
  <si>
    <t>YGL191W|cytochrome c oxidase subunit VIa</t>
  </si>
  <si>
    <t>CSR2</t>
  </si>
  <si>
    <t>Nuclear ubiquitin protein ligase binding protein</t>
  </si>
  <si>
    <t>YPR030W|ART8|MRG19</t>
  </si>
  <si>
    <t>SPG4</t>
  </si>
  <si>
    <t>YMR107W</t>
  </si>
  <si>
    <t>HXT6</t>
  </si>
  <si>
    <t>High-affinity glucose transporter</t>
  </si>
  <si>
    <t>YDR343C</t>
  </si>
  <si>
    <t>SSA3</t>
  </si>
  <si>
    <t>ATPase involved in protein folding and the response to stress</t>
  </si>
  <si>
    <t>YBL075C|Hsp70 family ATPase SSA3|YG106</t>
  </si>
  <si>
    <t>HXT7</t>
  </si>
  <si>
    <t>YDR342C</t>
  </si>
  <si>
    <t>Protein kinase</t>
  </si>
  <si>
    <t>QCR9</t>
  </si>
  <si>
    <t>Subunit 9 of ubiquinol cytochrome-c reductase (Complex III)</t>
  </si>
  <si>
    <t>YGR183C|UCR9|ubiquinol--cytochrome-c reductase subunit 9</t>
  </si>
  <si>
    <t>TRX3</t>
  </si>
  <si>
    <t>Mitochondrial thioredoxin</t>
  </si>
  <si>
    <t>YCR083W</t>
  </si>
  <si>
    <t>YNL144C</t>
  </si>
  <si>
    <t>NDI1</t>
  </si>
  <si>
    <t>NADH:ubiquinone oxidoreductase</t>
  </si>
  <si>
    <t>YML120C|NADH-ubiquinone reductase (H(+)-translocating) NDI1</t>
  </si>
  <si>
    <t>COX4</t>
  </si>
  <si>
    <t>Subunit IV of cytochrome c oxidase</t>
  </si>
  <si>
    <t>YGL187C|cytochrome c oxidase subunit IV</t>
  </si>
  <si>
    <t>SUR1</t>
  </si>
  <si>
    <t>Mannosylinositol phosphorylceramide (MIPC) synthase catalytic subunit</t>
  </si>
  <si>
    <t>YPL057C|BCL21|CSG1|LPE15|mannosylinositol phosphorylceramide synthase catalytic subunit SUR1</t>
  </si>
  <si>
    <t>MEF2</t>
  </si>
  <si>
    <t>Mitochondrial elongation factor involved in translational elongation</t>
  </si>
  <si>
    <t>YJL102W</t>
  </si>
  <si>
    <t>COX5A</t>
  </si>
  <si>
    <t>Subunit Va of cytochrome c oxidase</t>
  </si>
  <si>
    <t>YNL052W|cytochrome c oxidase subunit Va</t>
  </si>
  <si>
    <t>MTH1</t>
  </si>
  <si>
    <t>Negative regulator of the glucose-sensing signal transduction pathway</t>
  </si>
  <si>
    <t>YDR277C|BPC1|DGT1|HTR1</t>
  </si>
  <si>
    <t>Mitochondrial ribosomal protein of the small subunit</t>
  </si>
  <si>
    <t>FMP10</t>
  </si>
  <si>
    <t>YER182W</t>
  </si>
  <si>
    <t>CAT8</t>
  </si>
  <si>
    <t>Zinc cluster transcriptional activator</t>
  </si>
  <si>
    <t>YMR280C|DIL1|MSP8</t>
  </si>
  <si>
    <t>CRS5</t>
  </si>
  <si>
    <t>Copper-binding metallothionein</t>
  </si>
  <si>
    <t>YOR031W</t>
  </si>
  <si>
    <t>Non-essential protein of unknown function</t>
  </si>
  <si>
    <t>GUT2</t>
  </si>
  <si>
    <t>Mitochondrial glycerol-3-phosphate dehydrogenase</t>
  </si>
  <si>
    <t>YIL155C|glycerol-3-phosphate dehydrogenase</t>
  </si>
  <si>
    <t>VHS1</t>
  </si>
  <si>
    <t>Cytoplasmic serine/threonine protein kinase</t>
  </si>
  <si>
    <t>YDR247W</t>
  </si>
  <si>
    <t>DDR2</t>
  </si>
  <si>
    <t>Multi-stress response protein</t>
  </si>
  <si>
    <t>YOL052C-A|DDRA2|YOL053C-A</t>
  </si>
  <si>
    <t>YKL065W-A</t>
  </si>
  <si>
    <t>RGI2</t>
  </si>
  <si>
    <t>YIL057C</t>
  </si>
  <si>
    <t>YFL052W</t>
  </si>
  <si>
    <t>Putative zinc cluster protein that contains a DNA binding domain</t>
  </si>
  <si>
    <t>YFL052W|ROP1</t>
  </si>
  <si>
    <t>COX26</t>
  </si>
  <si>
    <t>YDR119W-A</t>
  </si>
  <si>
    <t>YPR010C-A</t>
  </si>
  <si>
    <t>QCR7</t>
  </si>
  <si>
    <t>Subunit 7 of ubiquinol cytochrome-c reductase (Complex III)</t>
  </si>
  <si>
    <t>YDR529C|COR4|CRO1|UCR7|ubiquinol--cytochrome-c reductase subunit 7</t>
  </si>
  <si>
    <t>Subunit of the origin recognition complex (ORC)</t>
  </si>
  <si>
    <t>DSF1</t>
  </si>
  <si>
    <t>Putative mannitol dehydrogenase</t>
  </si>
  <si>
    <t>YEL070W|mannitol dehydrogenase DSF1</t>
  </si>
  <si>
    <t>YDR461C-A</t>
  </si>
  <si>
    <t>NDE1</t>
  </si>
  <si>
    <t>Mitochondrial external NADH dehydrogenase</t>
  </si>
  <si>
    <t>YMR145C|NADH-ubiquinone reductase (H(+)-translocating) NDE1|NDH1</t>
  </si>
  <si>
    <t>ATP17</t>
  </si>
  <si>
    <t>Subunit f of the F0 sector of mitochondrial F1F0 ATP synthase</t>
  </si>
  <si>
    <t>YDR377W|F1F0 ATP synthase subunit f</t>
  </si>
  <si>
    <t>GDB1</t>
  </si>
  <si>
    <t>Glycogen debranching enzyme</t>
  </si>
  <si>
    <t>YPR184W|bifunctional 4-alpha-glucanotransferase/amylo-alpha-1,6-glucosidase</t>
  </si>
  <si>
    <t>JEN1</t>
  </si>
  <si>
    <t>Monocarboxylate/proton symporter of the plasma membrane</t>
  </si>
  <si>
    <t>YKL217W</t>
  </si>
  <si>
    <t>GLC3</t>
  </si>
  <si>
    <t>Glycogen branching enzyme, involved in glycogen accumulation</t>
  </si>
  <si>
    <t>YEL011W|1,4-alpha-glucan branching enzyme|GHA1</t>
  </si>
  <si>
    <t>MIR1</t>
  </si>
  <si>
    <t>Mitochondrial phosphate carrier</t>
  </si>
  <si>
    <t>YJR077C|PTP</t>
  </si>
  <si>
    <t>YMR175W-A</t>
  </si>
  <si>
    <t>YOR214C</t>
  </si>
  <si>
    <t>ISF1</t>
  </si>
  <si>
    <t>Serine-rich, hydrophilic protein</t>
  </si>
  <si>
    <t>YMR081C|MBR3</t>
  </si>
  <si>
    <t>ATP18</t>
  </si>
  <si>
    <t>Subunit of the mitochondrial F1F0 ATP synthase</t>
  </si>
  <si>
    <t>YML081C-A|F1F0 ATP synthase subunit i</t>
  </si>
  <si>
    <t>QCR6</t>
  </si>
  <si>
    <t>Subunit 6 of the ubiquinol cytochrome-c reductase complex</t>
  </si>
  <si>
    <t>YFR033C|COR3|UCR6|ubiquinol--cytochrome-c reductase subunit 6</t>
  </si>
  <si>
    <t>RIP1</t>
  </si>
  <si>
    <t>Ubiquinol-cytochrome-c reductase</t>
  </si>
  <si>
    <t>YEL024W|ubiquinol--cytochrome-c reductase catalytic subunit RIP1</t>
  </si>
  <si>
    <t>STF2</t>
  </si>
  <si>
    <t>Protein involved in resistance to dessication stress</t>
  </si>
  <si>
    <t>YGR008C</t>
  </si>
  <si>
    <t>CHO2</t>
  </si>
  <si>
    <t>Phosphatidylethanolamine methyltransferase (PEMT)</t>
  </si>
  <si>
    <t>YGR157W|PEM1|phosphatidylethanolamine N-methyltransferase</t>
  </si>
  <si>
    <t>GDH3</t>
  </si>
  <si>
    <t>NADP(+)-dependent glutamate dehydrogenase</t>
  </si>
  <si>
    <t>YAL062W|FUN51|glutamate dehydrogenase (NADP(+)) GDH3</t>
  </si>
  <si>
    <t>OM45</t>
  </si>
  <si>
    <t>Mitochondrial outer membrane protein of unknown function</t>
  </si>
  <si>
    <t>YIL136W</t>
  </si>
  <si>
    <t>PNC1</t>
  </si>
  <si>
    <t>Nicotinamidase that converts nicotinamide to nicotinic acid</t>
  </si>
  <si>
    <t>YGL037C|nicotinamidase</t>
  </si>
  <si>
    <t>ACS1</t>
  </si>
  <si>
    <t>Acetyl-coA synthetase isoform</t>
  </si>
  <si>
    <t>YAL054C|FUN44|acetate--CoA ligase 1</t>
  </si>
  <si>
    <t>HXK1</t>
  </si>
  <si>
    <t>Hexokinase isoenzyme 1</t>
  </si>
  <si>
    <t>YFR053C|hexokinase 1</t>
  </si>
  <si>
    <t>SIP4</t>
  </si>
  <si>
    <t>C6 zinc cluster transcriptional activator</t>
  </si>
  <si>
    <t>YJL089W</t>
  </si>
  <si>
    <t>Subunit of the RNA polymerase II mediator complex</t>
  </si>
  <si>
    <t>QCR2</t>
  </si>
  <si>
    <t>Subunit 2 of ubiquinol cytochrome-c reductase (Complex III)</t>
  </si>
  <si>
    <t>YPR191W|COR2|UCR2|ubiquinol--cytochrome-c reductase subunit 2</t>
  </si>
  <si>
    <t>COX12</t>
  </si>
  <si>
    <t>Subunit VIb of cytochrome c oxidase</t>
  </si>
  <si>
    <t>YLR038C|cytochrome c oxidase subunit VIb</t>
  </si>
  <si>
    <t>ADR1</t>
  </si>
  <si>
    <t>Carbon source-responsive zinc-finger transcription factor</t>
  </si>
  <si>
    <t>YDR216W</t>
  </si>
  <si>
    <t>Polyamine transporter of the major facilitator superfamily</t>
  </si>
  <si>
    <t>SDH2</t>
  </si>
  <si>
    <t>Iron-sulfur protein subunit of succinate dehydrogenase</t>
  </si>
  <si>
    <t>YLL041C|ACN17|SDHB|succinate dehydrogenase iron-sulfur protein subunit SDH2</t>
  </si>
  <si>
    <t>SIP18</t>
  </si>
  <si>
    <t>Phospholipid-binding hydrophilin</t>
  </si>
  <si>
    <t>YMR175W</t>
  </si>
  <si>
    <t>RPI1</t>
  </si>
  <si>
    <t>Transcription factor, allelic differences between S288C and Sigma1278b</t>
  </si>
  <si>
    <t>YIL119C</t>
  </si>
  <si>
    <t>BSC5</t>
  </si>
  <si>
    <t>YNR069C|BUL3</t>
  </si>
  <si>
    <t>6-phosphogluconolactonase</t>
  </si>
  <si>
    <t>CYT1</t>
  </si>
  <si>
    <t>Cytochrome c1</t>
  </si>
  <si>
    <t>YOR065W|CTC1|YOR29-16|ubiquinol--cytochrome-c reductase catalytic subunit CYT1</t>
  </si>
  <si>
    <t>SDH1</t>
  </si>
  <si>
    <t>Flavoprotein subunit of succinate dehydrogenase</t>
  </si>
  <si>
    <t>YKL148C|SDHA|succinate dehydrogenase flavoprotein subunit SDH1</t>
  </si>
  <si>
    <t>ACH1</t>
  </si>
  <si>
    <t>Protein with CoA transferase activity</t>
  </si>
  <si>
    <t>YBL015W</t>
  </si>
  <si>
    <t>OYE3</t>
  </si>
  <si>
    <t>Conserved NADPH oxidoreductase containing flavin mononucleotide (FMN)</t>
  </si>
  <si>
    <t>YPL171C|ZRG6</t>
  </si>
  <si>
    <t>OM14</t>
  </si>
  <si>
    <t>Integral mitochondrial outer membrane protein</t>
  </si>
  <si>
    <t>YBR230C</t>
  </si>
  <si>
    <t>Protein that associates with the INO80 chromatin remodeling complex</t>
  </si>
  <si>
    <t>GCV3</t>
  </si>
  <si>
    <t>H subunit of the mitochondrial glycine decarboxylase complex</t>
  </si>
  <si>
    <t>YAL044C|glycine decarboxylase subunit H</t>
  </si>
  <si>
    <t>GRE1</t>
  </si>
  <si>
    <t>Hydrophilin essential in dessication-rehydration process</t>
  </si>
  <si>
    <t>YPL223C</t>
  </si>
  <si>
    <t>Member of the seripauperin multigene family</t>
  </si>
  <si>
    <t>Protein component of the small (40S) ribosomal subunit</t>
  </si>
  <si>
    <t>YAP5</t>
  </si>
  <si>
    <t>Basic leucine zipper (bZIP) iron-sensing transcription factor</t>
  </si>
  <si>
    <t>YIR018W</t>
  </si>
  <si>
    <t>ADE3</t>
  </si>
  <si>
    <t>Cytoplasmic trifunctional enzyme C1-tetrahydrofolate synthase</t>
  </si>
  <si>
    <t>YGR204W|trifunctional formate-tetrahydrofolate ligase/methenyltetrahydrofolate cyclohydrolase/methylenetetrahydrofolate dehydrogenase ADE3</t>
  </si>
  <si>
    <t>Retrotransposon TYA Gag and TYB Pol genes</t>
  </si>
  <si>
    <t>3-phosphoglycerate dehydrogenase</t>
  </si>
  <si>
    <t>FMO1</t>
  </si>
  <si>
    <t>Flavin-containing monooxygenase</t>
  </si>
  <si>
    <t>YHR176W</t>
  </si>
  <si>
    <t>IZH3</t>
  </si>
  <si>
    <t>Membrane protein involved in zinc ion homeostasis</t>
  </si>
  <si>
    <t>YLR023C</t>
  </si>
  <si>
    <t>HYP2</t>
  </si>
  <si>
    <t>Translation elongation factor eIF-5A</t>
  </si>
  <si>
    <t>YEL034W|TIF51A|eIF-5A|eIF5A</t>
  </si>
  <si>
    <t>YER121W</t>
  </si>
  <si>
    <t>HPT1</t>
  </si>
  <si>
    <t>Dimeric hypoxanthine-guanine phosphoribosyltransferase</t>
  </si>
  <si>
    <t>YDR399W|BRA6|HPRT|hypoxanthine phosphoribosyltransferase</t>
  </si>
  <si>
    <t>PAU21</t>
  </si>
  <si>
    <t>YOR394W</t>
  </si>
  <si>
    <t>ARG1</t>
  </si>
  <si>
    <t>Arginosuccinate synthetase</t>
  </si>
  <si>
    <t>YOL058W|ARG10|argininosuccinate synthase</t>
  </si>
  <si>
    <t>REE1</t>
  </si>
  <si>
    <t>Cytoplasmic protein involved in the regulation of enolase (ENO1)</t>
  </si>
  <si>
    <t>YJL217W</t>
  </si>
  <si>
    <t>PCK1</t>
  </si>
  <si>
    <t>Phosphoenolpyruvate carboxykinase</t>
  </si>
  <si>
    <t>YKR097W|JPM2|PPC1|phosphoenolpyruvate carboxykinase PCK1</t>
  </si>
  <si>
    <t>ATP20</t>
  </si>
  <si>
    <t>Subunit g of the mitochondrial F1F0 ATP synthase</t>
  </si>
  <si>
    <t>YPR020W|F1F0 ATP synthase subunit g</t>
  </si>
  <si>
    <t>YBL100W-B</t>
  </si>
  <si>
    <t>YBL100W-B|TY2B_B|YBL101W-B|gag-pol fusion protein</t>
  </si>
  <si>
    <t>YBR201C-A</t>
  </si>
  <si>
    <t>SNZ1</t>
  </si>
  <si>
    <t>Protein involved in vitamin B6 biosynthesis</t>
  </si>
  <si>
    <t>YMR096W</t>
  </si>
  <si>
    <t>ARG8</t>
  </si>
  <si>
    <t>Acetylornithine aminotransferase</t>
  </si>
  <si>
    <t>YOL140W|acetylornithine transaminase</t>
  </si>
  <si>
    <t>NCA3</t>
  </si>
  <si>
    <t>Protein involved in mitochondrion organization</t>
  </si>
  <si>
    <t>YJL116C</t>
  </si>
  <si>
    <t>PMP2</t>
  </si>
  <si>
    <t>Proteolipid associated with plasma membrane H(+)-ATPase (Pma1p)</t>
  </si>
  <si>
    <t>YEL017C-A</t>
  </si>
  <si>
    <t>YBR255C-A</t>
  </si>
  <si>
    <t>AQY1</t>
  </si>
  <si>
    <t>Spore-specific water channel</t>
  </si>
  <si>
    <t>YPR192W</t>
  </si>
  <si>
    <t>D-lactate dehydrogenase</t>
  </si>
  <si>
    <t>ATP14</t>
  </si>
  <si>
    <t>Subunit h of the F0 sector of mitochondrial F1F0 ATP synthase</t>
  </si>
  <si>
    <t>YLR295C|F1F0 ATP synthase subunit h</t>
  </si>
  <si>
    <t>GTT1</t>
  </si>
  <si>
    <t>ER associated glutathione S-transferase capable of homodimerization</t>
  </si>
  <si>
    <t>YIR038C|bifunctional glutathione transferase/peroxidase</t>
  </si>
  <si>
    <t>Putative purine-cytosine permease</t>
  </si>
  <si>
    <t>MCH1</t>
  </si>
  <si>
    <t>Protein with similarity to mammalian monocarboxylate permeases</t>
  </si>
  <si>
    <t>YDL054C</t>
  </si>
  <si>
    <t>IES5</t>
  </si>
  <si>
    <t>YER092W</t>
  </si>
  <si>
    <t>COS6</t>
  </si>
  <si>
    <t>YGR295C</t>
  </si>
  <si>
    <t>GSH1</t>
  </si>
  <si>
    <t>Gamma glutamylcysteine synthetase</t>
  </si>
  <si>
    <t>YJL101C|glutamate--cysteine ligase</t>
  </si>
  <si>
    <t>ATP16</t>
  </si>
  <si>
    <t>Delta subunit of the central stalk of mitochondrial F1F0 ATP synthase</t>
  </si>
  <si>
    <t>YDL004W|F1F0 ATP synthase subunit delta</t>
  </si>
  <si>
    <t>FMP16</t>
  </si>
  <si>
    <t>YDR070C</t>
  </si>
  <si>
    <t>PRX1</t>
  </si>
  <si>
    <t>Mitochondrial peroxiredoxin with thioredoxin peroxidase activity</t>
  </si>
  <si>
    <t>YBL064C</t>
  </si>
  <si>
    <t>ICY2</t>
  </si>
  <si>
    <t>YPL250C</t>
  </si>
  <si>
    <t>YJL213W</t>
  </si>
  <si>
    <t>Protein of unknown function that may interact with ribosomes</t>
  </si>
  <si>
    <t>POP6</t>
  </si>
  <si>
    <t>Subunit of both RNase MRP and nuclear RNase P</t>
  </si>
  <si>
    <t>YGR030C</t>
  </si>
  <si>
    <t>FRE5</t>
  </si>
  <si>
    <t>Putative ferric reductase with similarity to Fre2p</t>
  </si>
  <si>
    <t>YOR384W</t>
  </si>
  <si>
    <t>YCR102C</t>
  </si>
  <si>
    <t>LYS20</t>
  </si>
  <si>
    <t>Homocitrate synthase isozyme</t>
  </si>
  <si>
    <t>YDL182W|homocitrate synthase LYS20</t>
  </si>
  <si>
    <t>Putative integral membrane protein</t>
  </si>
  <si>
    <t>ODC2</t>
  </si>
  <si>
    <t>Mitochondrial inner membrane transporter</t>
  </si>
  <si>
    <t>YOR222W</t>
  </si>
  <si>
    <t>Mitochondrial aldehyde dehydrogenase</t>
  </si>
  <si>
    <t>Cyclin</t>
  </si>
  <si>
    <t>Putative aryl-alcohol dehydrogenase</t>
  </si>
  <si>
    <t>CIA2</t>
  </si>
  <si>
    <t>Component of cytosolic iron-sulfur protein assembly (CIA) machinery</t>
  </si>
  <si>
    <t>YHR122W</t>
  </si>
  <si>
    <t>HMS2</t>
  </si>
  <si>
    <t>Protein with similarity to heat shock transcription factors</t>
  </si>
  <si>
    <t>YJR147W</t>
  </si>
  <si>
    <t>SRY1</t>
  </si>
  <si>
    <t>3-hydroxyaspartate dehydratase</t>
  </si>
  <si>
    <t>YKL218C|threo-3-hydroxy-L-aspartate ammonia-lyase SRY1</t>
  </si>
  <si>
    <t>FUR4</t>
  </si>
  <si>
    <t>Plasma membrane localized uracil permease</t>
  </si>
  <si>
    <t>YBR021W</t>
  </si>
  <si>
    <t>YMR265C</t>
  </si>
  <si>
    <t>LEU1</t>
  </si>
  <si>
    <t>Isopropylmalate isomerase</t>
  </si>
  <si>
    <t>YGL009C|3-isopropylmalate dehydratase LEU1</t>
  </si>
  <si>
    <t>LEE1</t>
  </si>
  <si>
    <t>Zinc-finger protein of unknown function</t>
  </si>
  <si>
    <t>YPL054W</t>
  </si>
  <si>
    <t>MCR1</t>
  </si>
  <si>
    <t>Mitochondrial NADH-cytochrome b5 reductase</t>
  </si>
  <si>
    <t>YKL150W</t>
  </si>
  <si>
    <t>Transcriptional regulator</t>
  </si>
  <si>
    <t>SPO22</t>
  </si>
  <si>
    <t>Meiosis-specific protein essential for chromosome synapsis</t>
  </si>
  <si>
    <t>YIL073C|ZIP4</t>
  </si>
  <si>
    <t>YNL234W</t>
  </si>
  <si>
    <t>Protein of unknown function with similarity to globins</t>
  </si>
  <si>
    <t>Mitochondrial protein required for assembly of cytochrome bc1 complex</t>
  </si>
  <si>
    <t>ECM12</t>
  </si>
  <si>
    <t>YHR021W-A</t>
  </si>
  <si>
    <t>Putative GPI protein</t>
  </si>
  <si>
    <t>CIR2</t>
  </si>
  <si>
    <t>Putative ortholog of human ETF-dH</t>
  </si>
  <si>
    <t>YOR356W</t>
  </si>
  <si>
    <t>ATG34</t>
  </si>
  <si>
    <t>Receptor protein involved in selective autophagy during starvation</t>
  </si>
  <si>
    <t>YOL083W|ATG19-B</t>
  </si>
  <si>
    <t>YDR170W-A</t>
  </si>
  <si>
    <t>Retrotransposon TYA Gag gene</t>
  </si>
  <si>
    <t>YDR170W-A|gag protein</t>
  </si>
  <si>
    <t>Plasma membrane transporter of the major facilitator superfamily</t>
  </si>
  <si>
    <t>PAU24</t>
  </si>
  <si>
    <t>Cell wall mannoprotein</t>
  </si>
  <si>
    <t>YBR301W|DAN3</t>
  </si>
  <si>
    <t>ALD6</t>
  </si>
  <si>
    <t>Cytosolic aldehyde dehydrogenase</t>
  </si>
  <si>
    <t>YPL061W|ALD1|aldehyde dehydrogenase (NADP(+)) ALD6</t>
  </si>
  <si>
    <t>CYS3</t>
  </si>
  <si>
    <t>Cystathionine gamma-lyase</t>
  </si>
  <si>
    <t>YAL012W|CYI1|FUN35|STR1|cystathionine gamma-lyase CYS3</t>
  </si>
  <si>
    <t>PRM5</t>
  </si>
  <si>
    <t>Pheromone-regulated protein, predicted to have 1 transmembrane segment</t>
  </si>
  <si>
    <t>YIL117C</t>
  </si>
  <si>
    <t>TPO2</t>
  </si>
  <si>
    <t>YGR138C</t>
  </si>
  <si>
    <t>HSP12</t>
  </si>
  <si>
    <t>Plasma membrane protein involved in maintaining membrane organization</t>
  </si>
  <si>
    <t>YFL014W|GLP1|HOR5</t>
  </si>
  <si>
    <t>PIR3</t>
  </si>
  <si>
    <t>O-glycosylated covalently-bound cell wall protein</t>
  </si>
  <si>
    <t>YKL163W|CCW8</t>
  </si>
  <si>
    <t>LYS1</t>
  </si>
  <si>
    <t>Saccharopine dehydrogenase (NAD+, L-lysine-forming)</t>
  </si>
  <si>
    <t>YIR034C|saccharopine dehydrogenase (NAD+, L-lysine-forming)</t>
  </si>
  <si>
    <t>HIS3</t>
  </si>
  <si>
    <t>Imidazoleglycerol-phosphate dehydratase</t>
  </si>
  <si>
    <t>YOR202W|HIS10|HIS8|imidazoleglycerol-phosphate dehydratase HIS3</t>
  </si>
  <si>
    <t>Protein of the AP180 family, involved in clathrin cage assembly</t>
  </si>
  <si>
    <t>ERV2</t>
  </si>
  <si>
    <t>Flavin-linked sulfhydryl oxidase localized to the ER lumen</t>
  </si>
  <si>
    <t>YPR037C</t>
  </si>
  <si>
    <t>ASN1</t>
  </si>
  <si>
    <t>Asparagine synthetase</t>
  </si>
  <si>
    <t>YPR145W|asparagine synthase (glutamine-hydrolyzing) 1</t>
  </si>
  <si>
    <t>MIG3</t>
  </si>
  <si>
    <t>YER028C</t>
  </si>
  <si>
    <t>SPO19</t>
  </si>
  <si>
    <t>Meiosis-specific prospore protein</t>
  </si>
  <si>
    <t>YPL130W</t>
  </si>
  <si>
    <t>BGL2</t>
  </si>
  <si>
    <t>Endo-beta-1,3-glucanase</t>
  </si>
  <si>
    <t>YGR282C</t>
  </si>
  <si>
    <t>MET16</t>
  </si>
  <si>
    <t>3'-phosphoadenylsulfate reductase</t>
  </si>
  <si>
    <t>YPR167C|phosphoadenylyl-sulfate reductase (thioredoxin)</t>
  </si>
  <si>
    <t>SAM2</t>
  </si>
  <si>
    <t>S-adenosylmethionine synthetase</t>
  </si>
  <si>
    <t>YDR502C|ETH2|methionine adenosyltransferase SAM2</t>
  </si>
  <si>
    <t>ATP1</t>
  </si>
  <si>
    <t>Alpha subunit of the F1 sector of mitochondrial F1F0 ATP synthase</t>
  </si>
  <si>
    <t>YBL099W|F1F0 ATP synthase subunit alpha</t>
  </si>
  <si>
    <t>MPC2</t>
  </si>
  <si>
    <t>Highly conserved subunit of the mitochondrial pyruvate carrier</t>
  </si>
  <si>
    <t>YHR162W</t>
  </si>
  <si>
    <t>CHL4</t>
  </si>
  <si>
    <t>Outer kinetochore protein required for chromosome stability</t>
  </si>
  <si>
    <t>YDR254W|CTF17|MCM17</t>
  </si>
  <si>
    <t>POS5</t>
  </si>
  <si>
    <t>Mitochondrial NADH kinase</t>
  </si>
  <si>
    <t>YPL188W</t>
  </si>
  <si>
    <t>MET2</t>
  </si>
  <si>
    <t>L-homoserine-O-acetyltransferase</t>
  </si>
  <si>
    <t>YNL277W|homoserine O-acetyltransferase</t>
  </si>
  <si>
    <t>STL1</t>
  </si>
  <si>
    <t>Glycerol proton symporter of the plasma membrane</t>
  </si>
  <si>
    <t>YDR536W</t>
  </si>
  <si>
    <t>THI72</t>
  </si>
  <si>
    <t>Transporter of thiamine or related compound</t>
  </si>
  <si>
    <t>YOR192C</t>
  </si>
  <si>
    <t>2-deoxyglucose-6-phosphate phosphatase</t>
  </si>
  <si>
    <t>MPC54</t>
  </si>
  <si>
    <t>Component of the meiotic outer plaque</t>
  </si>
  <si>
    <t>YOR177C</t>
  </si>
  <si>
    <t>FUI1</t>
  </si>
  <si>
    <t>High affinity uridine permease, localizes to the plasma membrane</t>
  </si>
  <si>
    <t>YBL042C</t>
  </si>
  <si>
    <t>GPI19</t>
  </si>
  <si>
    <t>Subunit of GPI-GlcNAc transferase involved in synthesis of GlcNAc-PI</t>
  </si>
  <si>
    <t>YDR437W</t>
  </si>
  <si>
    <t>YHR112C</t>
  </si>
  <si>
    <t>YHR112C|putative cystathionine beta-lyase</t>
  </si>
  <si>
    <t>SDH3</t>
  </si>
  <si>
    <t>Subunit of succinate dehydrogenase and of TIM22 translocase</t>
  </si>
  <si>
    <t>YKL141W|CYB3|YKL4|succinate dehydrogenase cytochrome b subunit SDH3</t>
  </si>
  <si>
    <t>AKR1</t>
  </si>
  <si>
    <t>Palmitoyl transferase involved in protein palmitoylation</t>
  </si>
  <si>
    <t>YDR264C</t>
  </si>
  <si>
    <t>DOG2</t>
  </si>
  <si>
    <t>YHR043C</t>
  </si>
  <si>
    <t>ARG3</t>
  </si>
  <si>
    <t>Ornithine carbamoyltransferase</t>
  </si>
  <si>
    <t>YJL088W|argF|ornithine carbamoyltransferase</t>
  </si>
  <si>
    <t>YIR018C-A</t>
  </si>
  <si>
    <t>OPT1</t>
  </si>
  <si>
    <t>Proton-coupled oligopeptide transporter of the plasma membrane</t>
  </si>
  <si>
    <t>YJL212C|GSH11|HGT1</t>
  </si>
  <si>
    <t>EXG2</t>
  </si>
  <si>
    <t>Exo-1,3-beta-glucanase</t>
  </si>
  <si>
    <t>YDR261C</t>
  </si>
  <si>
    <t>YNL018C</t>
  </si>
  <si>
    <t>YNL024C</t>
  </si>
  <si>
    <t>Putative methyltransferase</t>
  </si>
  <si>
    <t>YGL117W</t>
  </si>
  <si>
    <t>YJL160C</t>
  </si>
  <si>
    <t>SNO1</t>
  </si>
  <si>
    <t>Protein of unconfirmed function</t>
  </si>
  <si>
    <t>YMR095C</t>
  </si>
  <si>
    <t>Protein required for sporulation</t>
  </si>
  <si>
    <t>Reticulon protein</t>
  </si>
  <si>
    <t>ADH5</t>
  </si>
  <si>
    <t>Alcohol dehydrogenase isoenzyme V</t>
  </si>
  <si>
    <t>YBR145W|alcohol dehydrogenase ADH5</t>
  </si>
  <si>
    <t>STE3</t>
  </si>
  <si>
    <t>Receptor for a factor pheromone</t>
  </si>
  <si>
    <t>YKL178C|DAF2</t>
  </si>
  <si>
    <t>DLD3</t>
  </si>
  <si>
    <t>YEL071W</t>
  </si>
  <si>
    <t>YOR302W</t>
  </si>
  <si>
    <t>CPA1 uORF</t>
  </si>
  <si>
    <t>HIS2</t>
  </si>
  <si>
    <t>Histidinolphosphatase</t>
  </si>
  <si>
    <t>YFR025C|histidinol-phosphatase</t>
  </si>
  <si>
    <t>GTO1</t>
  </si>
  <si>
    <t>Omega-class glutathione transferase</t>
  </si>
  <si>
    <t>YGR154C</t>
  </si>
  <si>
    <t>MCH4</t>
  </si>
  <si>
    <t>YOL119C</t>
  </si>
  <si>
    <t>Essential component of the conserved oligomeric Golgi complex</t>
  </si>
  <si>
    <t>PGM1</t>
  </si>
  <si>
    <t>Phosphoglucomutase, minor isoform</t>
  </si>
  <si>
    <t>YKL127W|phosphoglucomutase PGM1</t>
  </si>
  <si>
    <t>ECM13</t>
  </si>
  <si>
    <t>YBL043W</t>
  </si>
  <si>
    <t>HPF1</t>
  </si>
  <si>
    <t>Haze-protective mannoprotein</t>
  </si>
  <si>
    <t>YOL155C</t>
  </si>
  <si>
    <t>COG1</t>
  </si>
  <si>
    <t>YGL223C|COD3|LDB11|SEC36</t>
  </si>
  <si>
    <t>BAP3</t>
  </si>
  <si>
    <t>Amino acid permease</t>
  </si>
  <si>
    <t>YDR046C|PAP1</t>
  </si>
  <si>
    <t>ECM3</t>
  </si>
  <si>
    <t>YOR092W|YOR3165W|putative ATPase ECM3</t>
  </si>
  <si>
    <t>YDR541C</t>
  </si>
  <si>
    <t>Putative dihydrokaempferol 4-reductase</t>
  </si>
  <si>
    <t>YDR541C|carbonyl reductase (NADPH-dependent)</t>
  </si>
  <si>
    <t>YGK3</t>
  </si>
  <si>
    <t>Protein kinase related to mammalian GSK-3 glycogen synthase kinases</t>
  </si>
  <si>
    <t>YOL128C</t>
  </si>
  <si>
    <t>SKP2</t>
  </si>
  <si>
    <t>F-box protein of unknown function</t>
  </si>
  <si>
    <t>YNL311C|putative SCF ubiquitin ligase complex subunit SKP2</t>
  </si>
  <si>
    <t>UTR2</t>
  </si>
  <si>
    <t>Chitin transglycosylase</t>
  </si>
  <si>
    <t>YEL040W|CRH2</t>
  </si>
  <si>
    <t>PDC6</t>
  </si>
  <si>
    <t>Minor isoform of pyruvate decarboxylase</t>
  </si>
  <si>
    <t>YGR087C|indolepyruvate decarboxylase 6</t>
  </si>
  <si>
    <t>PAU7</t>
  </si>
  <si>
    <t>YAR020C</t>
  </si>
  <si>
    <t>ZRT2</t>
  </si>
  <si>
    <t>Low-affinity zinc transporter of the plasma membrane</t>
  </si>
  <si>
    <t>YLR130C|low-affinity Zn(2+) transporter ZRT2</t>
  </si>
  <si>
    <t>ORC5</t>
  </si>
  <si>
    <t>YNL261W|origin recognition complex subunit 5</t>
  </si>
  <si>
    <t>SUL1</t>
  </si>
  <si>
    <t>High affinity sulfate permease of the SulP anion transporter family</t>
  </si>
  <si>
    <t>YBR294W|SFP2</t>
  </si>
  <si>
    <t>YKL068W-A</t>
  </si>
  <si>
    <t>AIM41</t>
  </si>
  <si>
    <t>YOR215C</t>
  </si>
  <si>
    <t>PMU1</t>
  </si>
  <si>
    <t>Putative phosphomutase</t>
  </si>
  <si>
    <t>YKL128C</t>
  </si>
  <si>
    <t>YHR022C</t>
  </si>
  <si>
    <t>MIG2</t>
  </si>
  <si>
    <t>Zinc finger transcriptional repressor</t>
  </si>
  <si>
    <t>YGL209W|MLZ1</t>
  </si>
  <si>
    <t>MET32</t>
  </si>
  <si>
    <t>Zinc-finger DNA-binding transcription factor</t>
  </si>
  <si>
    <t>YDR253C</t>
  </si>
  <si>
    <t>ATP7</t>
  </si>
  <si>
    <t>Subunit d of the stator stalk of mitochondrial F1F0 ATP synthase</t>
  </si>
  <si>
    <t>YKL016C|F1F0 ATP synthase subunit d</t>
  </si>
  <si>
    <t>YCL048W-A</t>
  </si>
  <si>
    <t>YCR099C</t>
  </si>
  <si>
    <t>CTF13</t>
  </si>
  <si>
    <t>Subunit of the CBF3 complex</t>
  </si>
  <si>
    <t>YMR094W|CBF3C</t>
  </si>
  <si>
    <t>UGA3</t>
  </si>
  <si>
    <t>Transcriptional activator for GABA-dependent induction of GABA genes</t>
  </si>
  <si>
    <t>YDL170W</t>
  </si>
  <si>
    <t>SDT1</t>
  </si>
  <si>
    <t>Pyrimidine nucleotidase</t>
  </si>
  <si>
    <t>YGL224C|SSM1</t>
  </si>
  <si>
    <t>PRM1</t>
  </si>
  <si>
    <t>Pheromone-regulated multispanning membrane protein</t>
  </si>
  <si>
    <t>YNL279W</t>
  </si>
  <si>
    <t>Vacuolar membrane zinc transporter</t>
  </si>
  <si>
    <t>ANS1</t>
  </si>
  <si>
    <t>YHR126C</t>
  </si>
  <si>
    <t>DUR3</t>
  </si>
  <si>
    <t>Plasma membrane transporter for both urea and polyamines</t>
  </si>
  <si>
    <t>YHL016C</t>
  </si>
  <si>
    <t>GCV2</t>
  </si>
  <si>
    <t>P subunit of the mitochondrial glycine decarboxylase complex</t>
  </si>
  <si>
    <t>YMR189W|GSD2|glycine decarboxylase subunit P</t>
  </si>
  <si>
    <t>SAG1</t>
  </si>
  <si>
    <t>Alpha-agglutinin of alpha-cells</t>
  </si>
  <si>
    <t>YJR004C|AG(ALPHA)1</t>
  </si>
  <si>
    <t>TRP3</t>
  </si>
  <si>
    <t>Indole-3-glycerol-phosphate synthase</t>
  </si>
  <si>
    <t>YKL211C|bifunctional anthranilate synthase/indole-3-glycerol-phosphate synthase</t>
  </si>
  <si>
    <t>PAU19</t>
  </si>
  <si>
    <t>YMR325W</t>
  </si>
  <si>
    <t>YLL053C</t>
  </si>
  <si>
    <t>Putative protein</t>
  </si>
  <si>
    <t>ARO8</t>
  </si>
  <si>
    <t>Aromatic aminotransferase I</t>
  </si>
  <si>
    <t>YGL202W|bifunctional 2-aminoadipate transaminase/aromatic-amino-acid:2-oxoglutarate transaminase</t>
  </si>
  <si>
    <t>IDP1</t>
  </si>
  <si>
    <t>Mitochondrial NADP-specific isocitrate dehydrogenase</t>
  </si>
  <si>
    <t>YDL066W|isocitrate dehydrogenase (NADP(+)) IDP1</t>
  </si>
  <si>
    <t>THI21</t>
  </si>
  <si>
    <t>Hydroxymethylpyrimidine (HMP) and HMP-phosphate kinase</t>
  </si>
  <si>
    <t>YPL258C|bifunctional hydroxymethylpyrimidine kinase/phosphomethylpyrimidine kinase</t>
  </si>
  <si>
    <t>YCT1</t>
  </si>
  <si>
    <t>High-affinity cysteine-specific transporter</t>
  </si>
  <si>
    <t>YLL055W</t>
  </si>
  <si>
    <t>YIL165C</t>
  </si>
  <si>
    <t>ATP5</t>
  </si>
  <si>
    <t>Subunit 5 of the stator stalk of mitochondrial F1F0 ATP synthase</t>
  </si>
  <si>
    <t>YDR298C|F1F0 ATP synthase subunit 5|OSC1</t>
  </si>
  <si>
    <t>SUT1</t>
  </si>
  <si>
    <t>Transcription factor of the Zn(II)2Cys6 family</t>
  </si>
  <si>
    <t>YGL162W</t>
  </si>
  <si>
    <t>Putative mitochondrial inner membrane transporter</t>
  </si>
  <si>
    <t>YCR100C</t>
  </si>
  <si>
    <t>YCR101C</t>
  </si>
  <si>
    <t>YOL107W</t>
  </si>
  <si>
    <t>EST3</t>
  </si>
  <si>
    <t>Component of the telomerase holoenzyme</t>
  </si>
  <si>
    <t>YIL009C-A</t>
  </si>
  <si>
    <t>SUL2</t>
  </si>
  <si>
    <t>High affinity sulfate permease</t>
  </si>
  <si>
    <t>YLR092W</t>
  </si>
  <si>
    <t>IMD2</t>
  </si>
  <si>
    <t>Inosine monophosphate dehydrogenase</t>
  </si>
  <si>
    <t>YHR216W|IMP dehydrogenase IMD2|PUR5</t>
  </si>
  <si>
    <t>YHL044W</t>
  </si>
  <si>
    <t>RIB5</t>
  </si>
  <si>
    <t>Riboflavin synthase</t>
  </si>
  <si>
    <t>YBR256C|riboflavin synthase</t>
  </si>
  <si>
    <t>AQY2</t>
  </si>
  <si>
    <t>Water channel that mediates water transport across cell membranes</t>
  </si>
  <si>
    <t>YLL052C</t>
  </si>
  <si>
    <t>YDL218W</t>
  </si>
  <si>
    <t>ARN1</t>
  </si>
  <si>
    <t>ARN family transporter for siderophore-iron chelates</t>
  </si>
  <si>
    <t>YHL040C</t>
  </si>
  <si>
    <t>FCY22</t>
  </si>
  <si>
    <t>YER060W-A</t>
  </si>
  <si>
    <t>LEU4</t>
  </si>
  <si>
    <t>Alpha-isopropylmalate synthase (2-isopropylmalate synthase)</t>
  </si>
  <si>
    <t>YNL104C|2-isopropylmalate synthase LEU4</t>
  </si>
  <si>
    <t>Cell wall protein with similarity to glucanases</t>
  </si>
  <si>
    <t>YJR111C</t>
  </si>
  <si>
    <t>PAU2</t>
  </si>
  <si>
    <t>YEL049W</t>
  </si>
  <si>
    <t>NUT2</t>
  </si>
  <si>
    <t>YPR168W|MED10</t>
  </si>
  <si>
    <t>SST2</t>
  </si>
  <si>
    <t>GTPase-activating protein for Gpa1p</t>
  </si>
  <si>
    <t>YLR452C</t>
  </si>
  <si>
    <t>YGL138C</t>
  </si>
  <si>
    <t>SOL3</t>
  </si>
  <si>
    <t>YHR163W|6-phosphogluconolactonase SOL3</t>
  </si>
  <si>
    <t>MNN4</t>
  </si>
  <si>
    <t>Putative positive regulator of mannosylphosphate transferase Mnn6p</t>
  </si>
  <si>
    <t>YKL201C|YKL200C</t>
  </si>
  <si>
    <t>MET22</t>
  </si>
  <si>
    <t>Bisphosphate-3'-nucleotidase</t>
  </si>
  <si>
    <t>YOL064C|HAL2</t>
  </si>
  <si>
    <t>MET8</t>
  </si>
  <si>
    <t>Bifunctional dehydrogenase and ferrochelatase</t>
  </si>
  <si>
    <t>YBR213W|bifunctional precorrin-2 dehydrogenase/sirohydrochlorin ferrochelatase MET8</t>
  </si>
  <si>
    <t>POP1</t>
  </si>
  <si>
    <t>YNL221C</t>
  </si>
  <si>
    <t>YKL050C</t>
  </si>
  <si>
    <t>NIT1</t>
  </si>
  <si>
    <t>Nitrilase</t>
  </si>
  <si>
    <t>YIL164C</t>
  </si>
  <si>
    <t>RAD59</t>
  </si>
  <si>
    <t>Protein involved DNA double-strand break repair</t>
  </si>
  <si>
    <t>YDL059C</t>
  </si>
  <si>
    <t>TEA1</t>
  </si>
  <si>
    <t>Ty1 enhancer activator involved in Ty enhancer-mediated transcription</t>
  </si>
  <si>
    <t>YOR337W</t>
  </si>
  <si>
    <t>RTC4</t>
  </si>
  <si>
    <t>YNL254C</t>
  </si>
  <si>
    <t>SMF3</t>
  </si>
  <si>
    <t>Putative divalent metal ion transporter involved in iron homeostasis</t>
  </si>
  <si>
    <t>YLR034C|putative divalent metal ion transporter SMF3</t>
  </si>
  <si>
    <t>TPN1</t>
  </si>
  <si>
    <t>Plasma membrane pyridoxine (vitamin B6) transporter</t>
  </si>
  <si>
    <t>YGL186C</t>
  </si>
  <si>
    <t>CPA2</t>
  </si>
  <si>
    <t>Large subunit of carbamoyl phosphate synthetase</t>
  </si>
  <si>
    <t>YJR109C|carbamoyl-phosphate synthase (glutamine-hydrolyzing) CPA2</t>
  </si>
  <si>
    <t>YPL264C</t>
  </si>
  <si>
    <t>Putative membrane protein of unknown function</t>
  </si>
  <si>
    <t>OAC1</t>
  </si>
  <si>
    <t>YKL120W</t>
  </si>
  <si>
    <t>ARG2</t>
  </si>
  <si>
    <t>Acetylglutamate synthase (glutamate N-acetyltransferase)</t>
  </si>
  <si>
    <t>YJL071W|HRB574|acetyl-CoA:L-glutamate N-acetyltransferase</t>
  </si>
  <si>
    <t>IRC4</t>
  </si>
  <si>
    <t>YDR540C</t>
  </si>
  <si>
    <t>ALD5</t>
  </si>
  <si>
    <t>YER073W|aldehyde dehydrogenase (NAD(P)(+)) ALD5</t>
  </si>
  <si>
    <t>HIS5</t>
  </si>
  <si>
    <t>Histidinol-phosphate aminotransferase</t>
  </si>
  <si>
    <t>YIL116W|histidinol-phosphate transaminase</t>
  </si>
  <si>
    <t>MHT1</t>
  </si>
  <si>
    <t>S-methylmethionine-homocysteine methyltransferase</t>
  </si>
  <si>
    <t>YLL062C</t>
  </si>
  <si>
    <t>MMP1</t>
  </si>
  <si>
    <t>High-affinity S-methylmethionine permease</t>
  </si>
  <si>
    <t>YLL061W</t>
  </si>
  <si>
    <t>ORT1</t>
  </si>
  <si>
    <t>Ornithine transporter of the mitochondrial inner membrane</t>
  </si>
  <si>
    <t>YOR130C|ARG11</t>
  </si>
  <si>
    <t>STR2</t>
  </si>
  <si>
    <t>Cystathionine gamma-synthase, converts cysteine into cystathionine</t>
  </si>
  <si>
    <t>YJR130C</t>
  </si>
  <si>
    <t>FUS1</t>
  </si>
  <si>
    <t>Membrane protein localized to the shmoo tip</t>
  </si>
  <si>
    <t>YCL027W</t>
  </si>
  <si>
    <t>AAD14</t>
  </si>
  <si>
    <t>YNL331C</t>
  </si>
  <si>
    <t>GGC1</t>
  </si>
  <si>
    <t>Mitochondrial GTP/GDP transporter</t>
  </si>
  <si>
    <t>YDL198C|SHM1|YHM1</t>
  </si>
  <si>
    <t>ENB1</t>
  </si>
  <si>
    <t>Endosomal ferric enterobactin transporter</t>
  </si>
  <si>
    <t>YOL158C|ARN4</t>
  </si>
  <si>
    <t>HXT4</t>
  </si>
  <si>
    <t>YHR092C|LGT1|RAG1</t>
  </si>
  <si>
    <t>QDR2</t>
  </si>
  <si>
    <t>YIL121W</t>
  </si>
  <si>
    <t>HBN1</t>
  </si>
  <si>
    <t>YCL026C-B|YCL027C-A</t>
  </si>
  <si>
    <t>ISU2</t>
  </si>
  <si>
    <t>Protein required for synthesis of iron-sulfur proteins</t>
  </si>
  <si>
    <t>YOR226C|NUA2</t>
  </si>
  <si>
    <t>RMD6</t>
  </si>
  <si>
    <t>YEL072W</t>
  </si>
  <si>
    <t>RNR2</t>
  </si>
  <si>
    <t>Ribonucleotide-diphosphate reductase (RNR), small subunit</t>
  </si>
  <si>
    <t>YJL026W|CRT6|ribonucleotide-diphosphate reductase subunit RNR2</t>
  </si>
  <si>
    <t>MFA2</t>
  </si>
  <si>
    <t>Mating pheromone a-factor</t>
  </si>
  <si>
    <t>YNL145W</t>
  </si>
  <si>
    <t>THI6</t>
  </si>
  <si>
    <t>Thiamine-phosphate diphosphorylase and hydroxyethylthiazole kinase</t>
  </si>
  <si>
    <t>YPL214C|bifunctional hydroxyethylthiazole kinase/thiamine-phosphate diphosphorylase</t>
  </si>
  <si>
    <t>KNH1</t>
  </si>
  <si>
    <t>Protein with similarity to Kre9p</t>
  </si>
  <si>
    <t>YDL049C</t>
  </si>
  <si>
    <t>LSC2</t>
  </si>
  <si>
    <t>Beta subunit of succinyl-CoA ligase</t>
  </si>
  <si>
    <t>YGR244C|succinate--CoA ligase (GDP-forming) subunit beta</t>
  </si>
  <si>
    <t>MXR1</t>
  </si>
  <si>
    <t>Methionine-S-sulfoxide reductase</t>
  </si>
  <si>
    <t>YER042W|MSRA</t>
  </si>
  <si>
    <t>ERG5</t>
  </si>
  <si>
    <t>C-22 sterol desaturase</t>
  </si>
  <si>
    <t>YMR015C|C-22 sterol desaturase|CYP61</t>
  </si>
  <si>
    <t>MET13</t>
  </si>
  <si>
    <t>Major isozyme of methylenetetrahydrofolate reductase</t>
  </si>
  <si>
    <t>YGL125W|MET11|MRPL45|methylenetetrahydrofolate reductase (NAD(P)H) MET13</t>
  </si>
  <si>
    <t>GCV1</t>
  </si>
  <si>
    <t>T subunit of the mitochondrial glycine decarboxylase complex</t>
  </si>
  <si>
    <t>YDR019C|GSD1|glycine decarboxylase subunit T</t>
  </si>
  <si>
    <t>ARG4</t>
  </si>
  <si>
    <t>Argininosuccinate lyase</t>
  </si>
  <si>
    <t>YHR018C|argininosuccinate lyase ARG4</t>
  </si>
  <si>
    <t>CWP2</t>
  </si>
  <si>
    <t>Covalently linked cell wall mannoprotein</t>
  </si>
  <si>
    <t>YKL096W-A|LPR1|YKL097W-A</t>
  </si>
  <si>
    <t>TRP5</t>
  </si>
  <si>
    <t>Tryptophan synthase</t>
  </si>
  <si>
    <t>YGL026C|tryptophan synthase TRP5</t>
  </si>
  <si>
    <t>URA4</t>
  </si>
  <si>
    <t>Dihydroorotase</t>
  </si>
  <si>
    <t>YLR420W|dihydroorotase</t>
  </si>
  <si>
    <t>MET28</t>
  </si>
  <si>
    <t>bZIP transcriptional activator in the Cbf1p-Met4p-Met28p complex</t>
  </si>
  <si>
    <t>YIR017C</t>
  </si>
  <si>
    <t>YLR146W-A</t>
  </si>
  <si>
    <t>ZRT3</t>
  </si>
  <si>
    <t>YKL175W|Zn(2+) transporter ZRT3</t>
  </si>
  <si>
    <t>AMN1</t>
  </si>
  <si>
    <t>Protein required for daughter cell separation</t>
  </si>
  <si>
    <t>YBR158W|CST13|ICS4</t>
  </si>
  <si>
    <t>TMT1</t>
  </si>
  <si>
    <t>Trans-aconitate methyltransferase</t>
  </si>
  <si>
    <t>YER175C|TAM1</t>
  </si>
  <si>
    <t>YAT2</t>
  </si>
  <si>
    <t>Carnitine acetyltransferase</t>
  </si>
  <si>
    <t>YER024W|carnitine O-acetyltransferase YAT2</t>
  </si>
  <si>
    <t>CAF16</t>
  </si>
  <si>
    <t>Part of evolutionarily-conserved CCR4-NOT regulatory complex</t>
  </si>
  <si>
    <t>YFL028C|putative ATP-binding cassette family ATPase CAF16</t>
  </si>
  <si>
    <t>Component of glutamine amidotransferase (GATase II)</t>
  </si>
  <si>
    <t>HOM2</t>
  </si>
  <si>
    <t>Aspartic beta semi-aldehyde dehydrogenase</t>
  </si>
  <si>
    <t>YDR158W|THR2|aspartate-semialdehyde dehydrogenase</t>
  </si>
  <si>
    <t>YHR210C</t>
  </si>
  <si>
    <t>Putative aldose 1-epimerase superfamily protein</t>
  </si>
  <si>
    <t>YHR210C|aldose 1-epimerase superfamily protein</t>
  </si>
  <si>
    <t>BNA3</t>
  </si>
  <si>
    <t>Kynurenine aminotransferase</t>
  </si>
  <si>
    <t>YJL060W</t>
  </si>
  <si>
    <t>FET3</t>
  </si>
  <si>
    <t>Ferro-O2-oxidoreductase</t>
  </si>
  <si>
    <t>YMR058W</t>
  </si>
  <si>
    <t>FRD1</t>
  </si>
  <si>
    <t>Soluble fumarate reductase</t>
  </si>
  <si>
    <t>YEL047C|FRDS1</t>
  </si>
  <si>
    <t>SPR3</t>
  </si>
  <si>
    <t>Sporulation-specific homolog of the CDC3/10/11/12 family of genes</t>
  </si>
  <si>
    <t>YGR059W|septin SPR3</t>
  </si>
  <si>
    <t>BAT1</t>
  </si>
  <si>
    <t>Mitochondrial branched-chain amino acid (BCAA) aminotransferase</t>
  </si>
  <si>
    <t>YHR208W|ECA39|TWT1|branched-chain-amino-acid transaminase BAT1</t>
  </si>
  <si>
    <t>ATM1</t>
  </si>
  <si>
    <t>Mitochondrial inner membrane ATP-binding cassette (ABC) transporter</t>
  </si>
  <si>
    <t>YMR301C|ATP-binding cassette Fe/S cluster precursor transporter ATM1</t>
  </si>
  <si>
    <t>GIC2</t>
  </si>
  <si>
    <t>Redundant rho-like GTPase Cdc42p effector</t>
  </si>
  <si>
    <t>YDR309C</t>
  </si>
  <si>
    <t>ARI1</t>
  </si>
  <si>
    <t>NADPH-dependent aldehyde reductase</t>
  </si>
  <si>
    <t>YGL157W|carbonyl reductase (NADPH-dependent) ARI1</t>
  </si>
  <si>
    <t>PMA2</t>
  </si>
  <si>
    <t>Plasma membrane H+-ATPase</t>
  </si>
  <si>
    <t>YPL036W|H(+)-exporting P2-type ATPase PMA2</t>
  </si>
  <si>
    <t>Daughter cell-specific secreted protein with similarity to glucanases</t>
  </si>
  <si>
    <t>WSC4</t>
  </si>
  <si>
    <t>Endoplasmic reticulum (ER) membrane protein</t>
  </si>
  <si>
    <t>YHL028W|YFW1|YHC8</t>
  </si>
  <si>
    <t>YML018C</t>
  </si>
  <si>
    <t>SEO1</t>
  </si>
  <si>
    <t>Putative permease</t>
  </si>
  <si>
    <t>YAL067C</t>
  </si>
  <si>
    <t>TRP4</t>
  </si>
  <si>
    <t>Anthranilate phosphoribosyl transferase</t>
  </si>
  <si>
    <t>YDR354W|anthranilate phosphoribosyltransferase</t>
  </si>
  <si>
    <t>MET10</t>
  </si>
  <si>
    <t>Subunit alpha of assimilatory sulfite reductase</t>
  </si>
  <si>
    <t>YFR030W|sulfite reductase subunit alpha</t>
  </si>
  <si>
    <t>THI7</t>
  </si>
  <si>
    <t>Plasma membrane transporter responsible for the uptake of thiamine</t>
  </si>
  <si>
    <t>YLR237W|THI10</t>
  </si>
  <si>
    <t>SAM3</t>
  </si>
  <si>
    <t>High-affinity S-adenosylmethionine permease</t>
  </si>
  <si>
    <t>YPL274W</t>
  </si>
  <si>
    <t>YJL218W</t>
  </si>
  <si>
    <t>Putative acetyltransferase</t>
  </si>
  <si>
    <t>YJL218W|acetyltransferase</t>
  </si>
  <si>
    <t>YHI9</t>
  </si>
  <si>
    <t>YHR029C</t>
  </si>
  <si>
    <t>HIS4</t>
  </si>
  <si>
    <t>Multifunctional enzyme containing phosphoribosyl-ATP pyrophosphatase</t>
  </si>
  <si>
    <t>YCL030C|trifunctional histidinol dehydrogenase/phosphoribosyl-AMP cyclohydrolase/phosphoribosyl-ATP diphosphatase</t>
  </si>
  <si>
    <t>Mannoprotein that is incorporated into the cell wall</t>
  </si>
  <si>
    <t>YMC2</t>
  </si>
  <si>
    <t>YBR104W</t>
  </si>
  <si>
    <t>Transcriptional repressor</t>
  </si>
  <si>
    <t>MET1</t>
  </si>
  <si>
    <t>S-adenosyl-L-methionine uroporphyrinogen III transmethylase</t>
  </si>
  <si>
    <t>YKR069W|MET20|uroporphyrinogen-III C-methyltransferase</t>
  </si>
  <si>
    <t>STD1</t>
  </si>
  <si>
    <t>Protein involved in control of glucose-regulated gene expression</t>
  </si>
  <si>
    <t>YOR047C|MSN3|SFS3</t>
  </si>
  <si>
    <t>HIS1</t>
  </si>
  <si>
    <t>ATP phosphoribosyltransferase</t>
  </si>
  <si>
    <t>YER055C|ATP phosphoribosyltransferase</t>
  </si>
  <si>
    <t>MET14</t>
  </si>
  <si>
    <t>Adenylylsulfate kinase</t>
  </si>
  <si>
    <t>YKL001C|adenylyl-sulfate kinase</t>
  </si>
  <si>
    <t>MF(ALPHA)2</t>
  </si>
  <si>
    <t>Mating pheromone alpha-factor, made by alpha cells</t>
  </si>
  <si>
    <t>YGL089C</t>
  </si>
  <si>
    <t>YLR179C</t>
  </si>
  <si>
    <t>Protein of unknown function with similarity to Tfs1p</t>
  </si>
  <si>
    <t>LIA1</t>
  </si>
  <si>
    <t>Deoxyhypusine hydroxylase</t>
  </si>
  <si>
    <t>YJR070C|MMD1</t>
  </si>
  <si>
    <t>DSE1</t>
  </si>
  <si>
    <t>Daughter cell-specific protein</t>
  </si>
  <si>
    <t>YER124C</t>
  </si>
  <si>
    <t>ARN2</t>
  </si>
  <si>
    <t>Transporter</t>
  </si>
  <si>
    <t>YHL047C|TAF1</t>
  </si>
  <si>
    <t>YDL085C-A</t>
  </si>
  <si>
    <t>RIB4</t>
  </si>
  <si>
    <t>Lumazine synthase (DMRL synthase)</t>
  </si>
  <si>
    <t>YOL143C|lumazine synthase RIB4</t>
  </si>
  <si>
    <t>Putative pyridoxal kinase</t>
  </si>
  <si>
    <t>DSE2</t>
  </si>
  <si>
    <t>YHR143W</t>
  </si>
  <si>
    <t>SUN4</t>
  </si>
  <si>
    <t>Cell wall protein related to glucanases</t>
  </si>
  <si>
    <t>YNL066W|SCW3</t>
  </si>
  <si>
    <t>HOM6</t>
  </si>
  <si>
    <t>Homoserine dehydrogenase (L-homoserine:NADP oxidoreductase)</t>
  </si>
  <si>
    <t>YJR139C|THR6|homoserine dehydrogenase</t>
  </si>
  <si>
    <t>GRX8</t>
  </si>
  <si>
    <t>Glutaredoxin that employs a dithiol mechanism of catalysis</t>
  </si>
  <si>
    <t>YLR364W|glutathione-disulfide reductase GRX8</t>
  </si>
  <si>
    <t>MUP1</t>
  </si>
  <si>
    <t>High affinity methionine permease</t>
  </si>
  <si>
    <t>YGR055W</t>
  </si>
  <si>
    <t>BUD16</t>
  </si>
  <si>
    <t>YEL029C|putative pyridoxal kinase BUD16</t>
  </si>
  <si>
    <t>LYS21</t>
  </si>
  <si>
    <t>YDL131W|homocitrate synthase LYS21</t>
  </si>
  <si>
    <t>MET6</t>
  </si>
  <si>
    <t>Cobalamin-independent methionine synthase</t>
  </si>
  <si>
    <t>YER091C|5-methyltetrahydropteroyltriglutamate-homocysteine S-methyltransferase</t>
  </si>
  <si>
    <t>THI2</t>
  </si>
  <si>
    <t>Transcriptional activator of thiamine biosynthetic genes</t>
  </si>
  <si>
    <t>YBR240C|PHO6|phoF</t>
  </si>
  <si>
    <t>SER1</t>
  </si>
  <si>
    <t>3-phosphoserine aminotransferase</t>
  </si>
  <si>
    <t>YOR184W|ADE9|O-phospho-L-serine:2-oxoglutarate transaminase</t>
  </si>
  <si>
    <t>PET18</t>
  </si>
  <si>
    <t>YCR020C|HIT2</t>
  </si>
  <si>
    <t>Transketolase</t>
  </si>
  <si>
    <t>THI73</t>
  </si>
  <si>
    <t>Putative plasma membrane permease</t>
  </si>
  <si>
    <t>YLR004C</t>
  </si>
  <si>
    <t>AGA1</t>
  </si>
  <si>
    <t>Anchorage subunit of a-agglutinin of a-cells</t>
  </si>
  <si>
    <t>YNR044W</t>
  </si>
  <si>
    <t>PAN5</t>
  </si>
  <si>
    <t>2-dehydropantoate 2-reductase</t>
  </si>
  <si>
    <t>YHR063C|2-dehydropantoate 2-reductase PAN5</t>
  </si>
  <si>
    <t>SHM2</t>
  </si>
  <si>
    <t>Cytosolic serine hydroxymethyltransferase</t>
  </si>
  <si>
    <t>YLR058C|SHMT2|glycine hydroxymethyltransferase SHM2</t>
  </si>
  <si>
    <t>HXT3</t>
  </si>
  <si>
    <t>Low affinity glucose transporter of the major facilitator superfamily</t>
  </si>
  <si>
    <t>YDR345C</t>
  </si>
  <si>
    <t>SER33</t>
  </si>
  <si>
    <t>YIL074C|phosphoglycerate dehydrogenase SER33</t>
  </si>
  <si>
    <t>SCW11</t>
  </si>
  <si>
    <t>YGL028C</t>
  </si>
  <si>
    <t>AAC3</t>
  </si>
  <si>
    <t>Mitochondrial inner membrane ADP/ATP translocator</t>
  </si>
  <si>
    <t>YBR085W|ANC3</t>
  </si>
  <si>
    <t>6-phosphogluconate dehydrogenase (decarboxylating)</t>
  </si>
  <si>
    <t>SIT1</t>
  </si>
  <si>
    <t>Ferrioxamine B transporter</t>
  </si>
  <si>
    <t>YEL065W|ARN3</t>
  </si>
  <si>
    <t>MET17</t>
  </si>
  <si>
    <t>O-acetyl homoserine-O-acetyl serine sulfhydrylase</t>
  </si>
  <si>
    <t>YLR303W|MET15|MET25|bifunctional cysteine synthase/O-acetylhomoserine aminocarboxypropyltransferase MET17</t>
  </si>
  <si>
    <t>FIT2</t>
  </si>
  <si>
    <t>YOR382W</t>
  </si>
  <si>
    <t>NSR1</t>
  </si>
  <si>
    <t>Nucleolar protein that binds nuclear localization sequences</t>
  </si>
  <si>
    <t>YGR159C|SHE5</t>
  </si>
  <si>
    <t>URA1</t>
  </si>
  <si>
    <t>Dihydroorotate dehydrogenase</t>
  </si>
  <si>
    <t>YKL216W|dihydroorotate dehydrogenase</t>
  </si>
  <si>
    <t>HIS7</t>
  </si>
  <si>
    <t>Imidazole glycerol phosphate synthase</t>
  </si>
  <si>
    <t>YBR248C|imidazoleglycerol-phosphate synthase</t>
  </si>
  <si>
    <t>SAM1</t>
  </si>
  <si>
    <t>YLR180W|ETH10|methionine adenosyltransferase SAM1</t>
  </si>
  <si>
    <t>HXT1</t>
  </si>
  <si>
    <t>Low-affinity glucose transporter of the major facilitator superfamily</t>
  </si>
  <si>
    <t>YHR094C|HOR4</t>
  </si>
  <si>
    <t>ADE17</t>
  </si>
  <si>
    <t>Enzyme of 'de novo' purine biosynthesis</t>
  </si>
  <si>
    <t>YMR120C|bifunctional phosphoribosylaminoimidazolecarboxamide formyltransferase/IMP cyclohydrolase ADE17</t>
  </si>
  <si>
    <t>THI80</t>
  </si>
  <si>
    <t>Thiamine pyrophosphokinase</t>
  </si>
  <si>
    <t>YOR143C|thiamine diphosphokinase</t>
  </si>
  <si>
    <t>CYS4</t>
  </si>
  <si>
    <t>Cystathionine beta-synthase</t>
  </si>
  <si>
    <t>YGR155W|NHS5|STR4|VMA41|cystathionine beta-synthase CYS4</t>
  </si>
  <si>
    <t>TIS11</t>
  </si>
  <si>
    <t>mRNA-binding protein expressed during iron starvation</t>
  </si>
  <si>
    <t>YLR136C|CTH2</t>
  </si>
  <si>
    <t>PDC5</t>
  </si>
  <si>
    <t>YLR134W|indolepyruvate decarboxylase 5</t>
  </si>
  <si>
    <t>MRH1</t>
  </si>
  <si>
    <t>Protein that localizes primarily to the plasma membrane</t>
  </si>
  <si>
    <t>YDR033W</t>
  </si>
  <si>
    <t>KAR4</t>
  </si>
  <si>
    <t>Transcription factor required for response to pheromones</t>
  </si>
  <si>
    <t>YCL055W</t>
  </si>
  <si>
    <t>MET5</t>
  </si>
  <si>
    <t>Sulfite reductase beta subunit</t>
  </si>
  <si>
    <t>YJR137C|ECM17|sulfite reductase (NADPH) subunit beta</t>
  </si>
  <si>
    <t>AUS1</t>
  </si>
  <si>
    <t>Plasma membrane sterol transporter of the ATP-binding cassette family</t>
  </si>
  <si>
    <t>YOR011W|ATP-binding cassette sterol transporter AUS1</t>
  </si>
  <si>
    <t>YOR387C</t>
  </si>
  <si>
    <t>DAN1</t>
  </si>
  <si>
    <t>YJR150C|CCW13</t>
  </si>
  <si>
    <t>MET3</t>
  </si>
  <si>
    <t>ATP sulfurylase</t>
  </si>
  <si>
    <t>YJR010W|sulfate adenylyltransferase</t>
  </si>
  <si>
    <t>THI22</t>
  </si>
  <si>
    <t>Protein with similarity to hydroxymethylpyrimidine phosphate kinases</t>
  </si>
  <si>
    <t>YPR121W|putative phosphomethylpyrimidine kinase</t>
  </si>
  <si>
    <t>THI20</t>
  </si>
  <si>
    <t>Trifunctional enzyme of thiamine biosynthesis, degradation and salvage</t>
  </si>
  <si>
    <t>YOL055C|trifunctional hydroxymethylpyrimidine kinase/phosphomethylpyrimidine kinase/thiaminase</t>
  </si>
  <si>
    <t>ZPS1</t>
  </si>
  <si>
    <t>Putative GPI-anchored protein</t>
  </si>
  <si>
    <t>YOL154W</t>
  </si>
  <si>
    <t>PHO3</t>
  </si>
  <si>
    <t>Constitutively expressed acid phosphatase similar to Pho5p</t>
  </si>
  <si>
    <t>YBR092C|phoC</t>
  </si>
  <si>
    <t>THI4</t>
  </si>
  <si>
    <t>Thiazole synthase</t>
  </si>
  <si>
    <t>YGR144W|ESP35|MOL1</t>
  </si>
  <si>
    <t>FTR1</t>
  </si>
  <si>
    <t>High affinity iron permease</t>
  </si>
  <si>
    <t>YER145C</t>
  </si>
  <si>
    <t>VEL1</t>
  </si>
  <si>
    <t>YGL258W</t>
  </si>
  <si>
    <t>Fold Change (normalized RPKM)</t>
  </si>
  <si>
    <t>Baggerley's test</t>
  </si>
  <si>
    <t>SGD annotations</t>
  </si>
  <si>
    <t>Normalized RPKM means</t>
  </si>
  <si>
    <t>Glucose-repressed cells ("G8")</t>
  </si>
  <si>
    <t>Cellobiose-grown cells ("C8")</t>
  </si>
  <si>
    <t>STR3</t>
  </si>
  <si>
    <t>Peroxisomal cystathionine beta-lyase</t>
  </si>
  <si>
    <t>YGL184C|cystathionine beta-lyase STR3</t>
  </si>
  <si>
    <t>MUP3</t>
  </si>
  <si>
    <t>Low affinity methionine permease</t>
  </si>
  <si>
    <t>YHL036W</t>
  </si>
  <si>
    <t>ARG7</t>
  </si>
  <si>
    <t>Mitochondrial ornithine acetyltransferase</t>
  </si>
  <si>
    <t>YMR062C|ECM40|glutamate N-acetyltransferase</t>
  </si>
  <si>
    <t>YEL073C</t>
  </si>
  <si>
    <t>HOM3</t>
  </si>
  <si>
    <t>Aspartate kinase (L-aspartate 4-P-transferase)</t>
  </si>
  <si>
    <t>YER052C|BOR1|SIL4|THR3|aspartate kinase</t>
  </si>
  <si>
    <t>YOR032W-A</t>
  </si>
  <si>
    <t>NDJ1</t>
  </si>
  <si>
    <t>Meiosis-specific telomere protein</t>
  </si>
  <si>
    <t>YOL104C|TAM1</t>
  </si>
  <si>
    <t>PDE1</t>
  </si>
  <si>
    <t>Low-affinity cyclic AMP phosphodiesterase</t>
  </si>
  <si>
    <t>YGL248W</t>
  </si>
  <si>
    <t>YJR005C-A</t>
  </si>
  <si>
    <t>FIT3</t>
  </si>
  <si>
    <t>YOR383C</t>
  </si>
  <si>
    <t>YIL163C</t>
  </si>
  <si>
    <t>RSB1</t>
  </si>
  <si>
    <t>Suppressor of sphingoid LCB sensitivity of an LCB-lyase mutation</t>
  </si>
  <si>
    <t>YOR049C|phospholipid-translocating ATPase RSB1</t>
  </si>
  <si>
    <t>NRK1</t>
  </si>
  <si>
    <t>Nicotinamide riboside kinase</t>
  </si>
  <si>
    <t>YNL129W|ribosylnicotinamide kinase</t>
  </si>
  <si>
    <t>YAR009C</t>
  </si>
  <si>
    <t>YAR009C|YARCTyB1-1|truncated gag-pol fusion protein</t>
  </si>
  <si>
    <t>YNR068C</t>
  </si>
  <si>
    <t>YNR068C|BUL3</t>
  </si>
  <si>
    <t>YNL284C-B</t>
  </si>
  <si>
    <t>YNL284C-B|gag-pol fusion protein</t>
  </si>
  <si>
    <t>PAU4</t>
  </si>
  <si>
    <t>YLR461W</t>
  </si>
  <si>
    <t>YMR045C</t>
  </si>
  <si>
    <t>YMR045C|gag-pol fusion protein</t>
  </si>
  <si>
    <t>YDR261C-D</t>
  </si>
  <si>
    <t>YDR261C-D|gag-pol fusion protein</t>
  </si>
  <si>
    <t>ARG5,6</t>
  </si>
  <si>
    <t>Acetylglutamate kinase and N-acetyl-gamma-glutamyl-phosphate reductase</t>
  </si>
  <si>
    <t>YER069W|bifunctional acetylglutamate kinase/N-acetyl-gamma-glutamyl-phosphate reductase</t>
  </si>
  <si>
    <t>YBL005W-B</t>
  </si>
  <si>
    <t>YBL005W-B|gag-pol fusion protein</t>
  </si>
  <si>
    <t>YJR027W</t>
  </si>
  <si>
    <t>YJR027W|gag-pol fusion protein</t>
  </si>
  <si>
    <t>SWF1</t>
  </si>
  <si>
    <t>Palmitoyltransferase that acts on transmembrane proteins</t>
  </si>
  <si>
    <t>YDR126W|PSL10</t>
  </si>
  <si>
    <t>PHO84</t>
  </si>
  <si>
    <t>High-affinity inorganic phosphate (Pi) transporter</t>
  </si>
  <si>
    <t>YML123C|phoT</t>
  </si>
  <si>
    <t>FOL2</t>
  </si>
  <si>
    <t>GTP-cyclohydrolase I</t>
  </si>
  <si>
    <t>YGR267C|GTP cyclohydrolase I</t>
  </si>
  <si>
    <t>YLR227W-B</t>
  </si>
  <si>
    <t>YLR227W-B|gag-pol fusion protein</t>
  </si>
  <si>
    <t>PHM8</t>
  </si>
  <si>
    <t>Lysophosphatidic acid (LPA) phosphatase, nucleotidase</t>
  </si>
  <si>
    <t>YER037W</t>
  </si>
  <si>
    <t>NUM1</t>
  </si>
  <si>
    <t>Protein required for nuclear migration</t>
  </si>
  <si>
    <t>YDR150W|PAC12</t>
  </si>
  <si>
    <t>YCL042W</t>
  </si>
  <si>
    <t>YHR138C</t>
  </si>
  <si>
    <t>YKR075C</t>
  </si>
  <si>
    <t>YHR050W-A</t>
  </si>
  <si>
    <t>IMA2</t>
  </si>
  <si>
    <t>Isomaltase (alpha-1,6-glucosidase/alpha-methylglucosidase)</t>
  </si>
  <si>
    <t>YOL157C</t>
  </si>
  <si>
    <t>YOR186W</t>
  </si>
  <si>
    <t>INH1</t>
  </si>
  <si>
    <t>Protein that inhibits ATP hydrolysis by the F1F0-ATP synthase</t>
  </si>
  <si>
    <t>YDL181W</t>
  </si>
  <si>
    <t>ATP2</t>
  </si>
  <si>
    <t>Beta subunit of the F1 sector of mitochondrial F1F0 ATP synthase</t>
  </si>
  <si>
    <t>YJR121W|F1F0 ATP synthase subunit beta</t>
  </si>
  <si>
    <t>STF1</t>
  </si>
  <si>
    <t>Protein involved in regulation of the mitochondrial F1F0-ATP synthase</t>
  </si>
  <si>
    <t>YDL130W-A|AIS2</t>
  </si>
  <si>
    <t>FMP45</t>
  </si>
  <si>
    <t>Integral membrane protein localized to mitochondria</t>
  </si>
  <si>
    <t>YDL222C</t>
  </si>
  <si>
    <t>NNK1</t>
  </si>
  <si>
    <t>YKL171W</t>
  </si>
  <si>
    <t>CTT1</t>
  </si>
  <si>
    <t>Cytosolic catalase T</t>
  </si>
  <si>
    <t>YGR088W|SPS101|catalase T</t>
  </si>
  <si>
    <t>CYC3</t>
  </si>
  <si>
    <t>Cytochrome c heme lyase (holocytochrome c synthase)</t>
  </si>
  <si>
    <t>YAL039C|holocytochrome c synthase CYC3</t>
  </si>
  <si>
    <t>YMR114C</t>
  </si>
  <si>
    <t>UIP4</t>
  </si>
  <si>
    <t>Protein that interacts with Ulp1p</t>
  </si>
  <si>
    <t>YPL186C</t>
  </si>
  <si>
    <t>STP4</t>
  </si>
  <si>
    <t>Protein containing a Kruppel-type zinc-finger domain</t>
  </si>
  <si>
    <t>YDL048C</t>
  </si>
  <si>
    <t>HXT5</t>
  </si>
  <si>
    <t>Hexose transporter with moderate affinity for glucose</t>
  </si>
  <si>
    <t>YHR096C</t>
  </si>
  <si>
    <t>YMR206W</t>
  </si>
  <si>
    <t>FMP43</t>
  </si>
  <si>
    <t>Highly conserved subunit of mitochondrial pyruvate carrier</t>
  </si>
  <si>
    <t>YGR243W|MPC3</t>
  </si>
  <si>
    <t>MAL31</t>
  </si>
  <si>
    <t>Maltose permease</t>
  </si>
  <si>
    <t>YBR298C|MAL3T|MALT</t>
  </si>
  <si>
    <t>ATP4</t>
  </si>
  <si>
    <t>Subunit b of the stator stalk of mitochondrial F1F0 ATP synthase</t>
  </si>
  <si>
    <t>YPL078C|F1F0 ATP synthase subunit 4|LPF7</t>
  </si>
  <si>
    <t>MDH1</t>
  </si>
  <si>
    <t>Mitochondrial malate dehydrogenase</t>
  </si>
  <si>
    <t>YKL085W|malate dehydrogenase MDH1</t>
  </si>
  <si>
    <t>XBP1</t>
  </si>
  <si>
    <t>YIL101C</t>
  </si>
  <si>
    <t>GSM1</t>
  </si>
  <si>
    <t>Putative zinc cluster protein of unknown function</t>
  </si>
  <si>
    <t>YJL103C</t>
  </si>
  <si>
    <t>CWP1</t>
  </si>
  <si>
    <t>Cell wall mannoprotein that localizes to birth scars of daughter cells</t>
  </si>
  <si>
    <t>YKL096W|YJU1</t>
  </si>
  <si>
    <t>HFD1</t>
  </si>
  <si>
    <t>Hexadecenal dehydrogenase</t>
  </si>
  <si>
    <t>YMR110C</t>
  </si>
  <si>
    <t>SPS100</t>
  </si>
  <si>
    <t>Protein required for spore wall maturation</t>
  </si>
  <si>
    <t>YHR139C</t>
  </si>
  <si>
    <t>ATP15</t>
  </si>
  <si>
    <t>Epsilon subunit of the F1 sector of mitochondrial F1F0 ATP synthase</t>
  </si>
  <si>
    <t>YPL271W|ATPEPSILON|F1F0 ATP synthase subunit epsilon</t>
  </si>
  <si>
    <t>PGM2</t>
  </si>
  <si>
    <t>Phosphoglucomutase</t>
  </si>
  <si>
    <t>YMR105C|GAL5|phosphoglucomutase PGM2</t>
  </si>
  <si>
    <t>GIP2</t>
  </si>
  <si>
    <t>Putative regulatory subunit of protein phosphatase Glc7p</t>
  </si>
  <si>
    <t>YER054C</t>
  </si>
  <si>
    <t>SED1</t>
  </si>
  <si>
    <t>Major stress-induced structural GPI-cell wall glycoprotein</t>
  </si>
  <si>
    <t>YDR077W</t>
  </si>
  <si>
    <t>NDE2</t>
  </si>
  <si>
    <t>YDL085W|NADH-ubiquinone reductase (H(+)-translocating) NDE2|NDH2</t>
  </si>
  <si>
    <t>YNK1</t>
  </si>
  <si>
    <t>Nucleoside diphosphate kinase</t>
  </si>
  <si>
    <t>YKL067W|NDK1|nucleoside diphosphate kinase</t>
  </si>
  <si>
    <t>KGD2</t>
  </si>
  <si>
    <t>Dihydrolipoyl transsuccinylase</t>
  </si>
  <si>
    <t>YDR148C|alpha-ketoglutarate dehydrogenase KGD2</t>
  </si>
  <si>
    <t>GUT1</t>
  </si>
  <si>
    <t>Glycerol kinase</t>
  </si>
  <si>
    <t>YHL032C|glycerol kinase</t>
  </si>
  <si>
    <t>MSC1</t>
  </si>
  <si>
    <t>YML128C</t>
  </si>
  <si>
    <t>POT1</t>
  </si>
  <si>
    <t>3-ketoacyl-CoA thiolase with broad chain length specificity</t>
  </si>
  <si>
    <t>YIL160C|FOX3|POX3|acetyl-CoA C-acyltransferase</t>
  </si>
  <si>
    <t>ATP19</t>
  </si>
  <si>
    <t>Subunit k of the mitochondrial F1F0 ATP synthase</t>
  </si>
  <si>
    <t>YOL077W-A|F1F0 ATP synthase subunit k</t>
  </si>
  <si>
    <t>SOD2</t>
  </si>
  <si>
    <t>Mitochondrial manganese superoxide dismutase</t>
  </si>
  <si>
    <t>YHR008C|superoxide dismutase SOD2</t>
  </si>
  <si>
    <t>YKL107W</t>
  </si>
  <si>
    <t>Putative short-chain dehydrogenase/reductase</t>
  </si>
  <si>
    <t>YKL107W|putative short-chain dehydrogenase/reductase</t>
  </si>
  <si>
    <t>KGD1</t>
  </si>
  <si>
    <t>Subunit of the mitochondrial alpha-ketoglutarate dehydrogenase complex</t>
  </si>
  <si>
    <t>YIL125W|OGD1|alpha-ketoglutarate dehydrogenase KGD1</t>
  </si>
  <si>
    <t>ZEO1</t>
  </si>
  <si>
    <t>Peripheral membrane protein of the plasma membrane</t>
  </si>
  <si>
    <t>YOL109W</t>
  </si>
  <si>
    <t>HXT17</t>
  </si>
  <si>
    <t>Hexose transporter</t>
  </si>
  <si>
    <t>YNR072W</t>
  </si>
  <si>
    <t>SOR2</t>
  </si>
  <si>
    <t>YDL246C|L-iditol 2-dehydrogenase SOR2</t>
  </si>
  <si>
    <t>YGR201C</t>
  </si>
  <si>
    <t>YER085C</t>
  </si>
  <si>
    <t>MLS1</t>
  </si>
  <si>
    <t>Malate synthase, enzyme of the glyoxylate cycle</t>
  </si>
  <si>
    <t>YNL117W|malate synthase MLS1</t>
  </si>
  <si>
    <t>YIL024C</t>
  </si>
  <si>
    <t>NQM1</t>
  </si>
  <si>
    <t>Transaldolase of unknown function</t>
  </si>
  <si>
    <t>YGR043C|sedoheptulose-7-phosphate:D-glyceraldehyde-3-phosphate transaldolase NQM1</t>
  </si>
  <si>
    <t>RCK1</t>
  </si>
  <si>
    <t>Protein kinase involved in the response to oxidative stress</t>
  </si>
  <si>
    <t>YGL158W</t>
  </si>
  <si>
    <t>YMR31</t>
  </si>
  <si>
    <t>YFR049W|mitochondrial 37S ribosomal protein YMR31</t>
  </si>
  <si>
    <t>MAL32</t>
  </si>
  <si>
    <t>Maltase (alpha-D-glucosidase)</t>
  </si>
  <si>
    <t>YBR299W|MAL3S|MALS</t>
  </si>
  <si>
    <t>SDH4</t>
  </si>
  <si>
    <t>Membrane anchor subunit of succinate dehydrogenase</t>
  </si>
  <si>
    <t>YDR178W|ACN18|succinate dehydrogenase membrane anchor subunit SDH4</t>
  </si>
  <si>
    <t>ATP3</t>
  </si>
  <si>
    <t>Gamma subunit of the F1 sector of mitochondrial F1F0 ATP synthase</t>
  </si>
  <si>
    <t>YBR039W|F1F0 ATP synthase subunit gamma</t>
  </si>
  <si>
    <t>CBP4</t>
  </si>
  <si>
    <t>YGR174C</t>
  </si>
  <si>
    <t>HBT1</t>
  </si>
  <si>
    <t>Shmoo tip protein, substrate of Hub1p ubiquitin-like protein</t>
  </si>
  <si>
    <t>YDL223C</t>
  </si>
  <si>
    <t>TKL2</t>
  </si>
  <si>
    <t>YBR117C|transketolase TKL2</t>
  </si>
  <si>
    <t>MTC7</t>
  </si>
  <si>
    <t>YEL033W</t>
  </si>
  <si>
    <t>HXT10</t>
  </si>
  <si>
    <t>Putative hexose transporter</t>
  </si>
  <si>
    <t>YFL011W</t>
  </si>
  <si>
    <t>TIM11</t>
  </si>
  <si>
    <t>Subunit e of mitochondrial F1F0-ATPase</t>
  </si>
  <si>
    <t>YDR322C-A|ATP21|F1F0 ATP synthase subunit e</t>
  </si>
  <si>
    <t>SUC2</t>
  </si>
  <si>
    <t>Invertase</t>
  </si>
  <si>
    <t>YIL162W|beta-fructofuranosidase SUC2</t>
  </si>
  <si>
    <t>RPM2</t>
  </si>
  <si>
    <t>Protein subunit of mitochondrial RNase P</t>
  </si>
  <si>
    <t>YML091C</t>
  </si>
  <si>
    <t>SOR1</t>
  </si>
  <si>
    <t>Sorbitol dehydrogenase</t>
  </si>
  <si>
    <t>YJR159W|L-iditol 2-dehydrogenase SOR1|SDH1</t>
  </si>
  <si>
    <t>PAU22</t>
  </si>
  <si>
    <t>YPL282C</t>
  </si>
  <si>
    <t>COX6</t>
  </si>
  <si>
    <t>Subunit VI of cytochrome c oxidase (Complex IV)</t>
  </si>
  <si>
    <t>YHR051W|cytochrome c oxidase subunit VI</t>
  </si>
  <si>
    <t>GND2</t>
  </si>
  <si>
    <t>YGR256W|phosphogluconate dehydrogenase (decarboxylating) GND2</t>
  </si>
  <si>
    <t>HOP2</t>
  </si>
  <si>
    <t>Meiosis-specific protein that localizes to chromosomes</t>
  </si>
  <si>
    <t>YGL033W</t>
  </si>
  <si>
    <t>COX8</t>
  </si>
  <si>
    <t>Subunit VIII of cytochrome c oxidase (Complex IV)</t>
  </si>
  <si>
    <t>YLR395C|cytochrome c oxidase subunit VIII</t>
  </si>
  <si>
    <t>ODC1</t>
  </si>
  <si>
    <t>YPL134C</t>
  </si>
  <si>
    <t>PET9</t>
  </si>
  <si>
    <t>Major ADP/ATP carrier of the mitochondrial inner membrane</t>
  </si>
  <si>
    <t>YBL030C|AAC2|ANC2|OP1</t>
  </si>
  <si>
    <t>YNR071C</t>
  </si>
  <si>
    <t>Putative aldose 1-epimerase</t>
  </si>
  <si>
    <t>YNR071C|aldose 1-epimerase superfamily protein</t>
  </si>
  <si>
    <t>PAI3</t>
  </si>
  <si>
    <t>Cytoplasmic proteinase A (Pep4p) inhibitor</t>
  </si>
  <si>
    <t>YMR174C</t>
  </si>
  <si>
    <t>SHH3</t>
  </si>
  <si>
    <t>Putative mitochondrial inner membrane protein of unknown function</t>
  </si>
  <si>
    <t>YMR118C|protein SHH3</t>
  </si>
  <si>
    <t>RTN2</t>
  </si>
  <si>
    <t>YDL204W</t>
  </si>
  <si>
    <t>YHR033W</t>
  </si>
  <si>
    <t>YHR033W|putative glutamate 5-kinase</t>
  </si>
  <si>
    <t>MAL12</t>
  </si>
  <si>
    <t>YGR292W|MALS</t>
  </si>
  <si>
    <t>YNR073C</t>
  </si>
  <si>
    <t>YNR073C|putative mannitol dehydrogenase</t>
  </si>
  <si>
    <t>HXT13</t>
  </si>
  <si>
    <t>YEL069C</t>
  </si>
  <si>
    <t>FMP23</t>
  </si>
  <si>
    <t>YBR047W</t>
  </si>
  <si>
    <t>DUG3</t>
  </si>
  <si>
    <t>YNL191W|glutamine amidotransferase subunit DUG3</t>
  </si>
  <si>
    <t>CPA1</t>
  </si>
  <si>
    <t>Small subunit of carbamoyl phosphate synthetase</t>
  </si>
  <si>
    <t>YOR303W|carbamoyl-phosphate synthase (glutamine-hydrolyzing) CPA1</t>
  </si>
  <si>
    <t>PCL5</t>
  </si>
  <si>
    <t>YHR071W</t>
  </si>
  <si>
    <t>MET30</t>
  </si>
  <si>
    <t>F-box protein containing five copies of the WD40 motif</t>
  </si>
  <si>
    <t>YIL046W|ZRG11</t>
  </si>
  <si>
    <t>RGS2</t>
  </si>
  <si>
    <t>Negative regulator of glucose-induced cAMP signaling</t>
  </si>
  <si>
    <t>YOR107W</t>
  </si>
  <si>
    <t>YBR012W-B</t>
  </si>
  <si>
    <t>YBR012W-B|gag-pol fusion protein</t>
  </si>
  <si>
    <t>FMS1</t>
  </si>
  <si>
    <t>Polyamine oxidase</t>
  </si>
  <si>
    <t>YMR020W|polyamine oxidase</t>
  </si>
  <si>
    <t>YLR042C</t>
  </si>
  <si>
    <t>MAL13</t>
  </si>
  <si>
    <t>MAL-activator protein</t>
  </si>
  <si>
    <t>YGR288W|MALR</t>
  </si>
  <si>
    <t>YJR146W</t>
  </si>
  <si>
    <t>YAP1801</t>
  </si>
  <si>
    <t>YHR161C</t>
  </si>
  <si>
    <t>GAP1</t>
  </si>
  <si>
    <t>General amino acid permease</t>
  </si>
  <si>
    <t>YKR039W</t>
  </si>
  <si>
    <t>PBI2</t>
  </si>
  <si>
    <t>Cytosolic inhibitor of vacuolar proteinase B (PRB1)</t>
  </si>
  <si>
    <t>YNL015W|I2B|IB2|LMA1</t>
  </si>
  <si>
    <t>FMP21</t>
  </si>
  <si>
    <t>YBR269C</t>
  </si>
  <si>
    <t>YET2</t>
  </si>
  <si>
    <t>YMR040W</t>
  </si>
  <si>
    <t>YCL012C</t>
  </si>
  <si>
    <t>YCL012C|YCL011C-A</t>
  </si>
  <si>
    <t>SPR28</t>
  </si>
  <si>
    <t>YDR218C|septin SPR28</t>
  </si>
  <si>
    <t>DAL80</t>
  </si>
  <si>
    <t>Negative regulator of genes in multiple nitrogen degradation pathways</t>
  </si>
  <si>
    <t>YKR034W|UGA43</t>
  </si>
  <si>
    <t>FMP46</t>
  </si>
  <si>
    <t>Putative redox protein containing a thioredoxin fold</t>
  </si>
  <si>
    <t>YKR049C</t>
  </si>
  <si>
    <t>COS111</t>
  </si>
  <si>
    <t>Protein required for antifungal drug ciclopirox olamine resistance</t>
  </si>
  <si>
    <t>YBR203W</t>
  </si>
  <si>
    <t>MBR1</t>
  </si>
  <si>
    <t>Protein involved in mitochondrial functions and stress response</t>
  </si>
  <si>
    <t>YKL093W</t>
  </si>
  <si>
    <t>MRK1</t>
  </si>
  <si>
    <t>Glycogen synthase kinase 3 (GSK-3) homolog</t>
  </si>
  <si>
    <t>YDL079C</t>
  </si>
  <si>
    <t>VID24</t>
  </si>
  <si>
    <t>GID Complex regulatory subunit</t>
  </si>
  <si>
    <t>YBR105C|GID4|glucose-induced degradation complex subunit VID24</t>
  </si>
  <si>
    <t>MOS1</t>
  </si>
  <si>
    <t>Mitochondrial protein essential for proper inner membrane organization</t>
  </si>
  <si>
    <t>YCL057C-A|MCS10|MIO10</t>
  </si>
  <si>
    <t>RPS22B</t>
  </si>
  <si>
    <t>YLR367W|ribosomal 40S subunit protein S22B</t>
  </si>
  <si>
    <t>YDR034W-B</t>
  </si>
  <si>
    <t>Predicted tail-anchored plasma membrane protein</t>
  </si>
  <si>
    <t>GLK1</t>
  </si>
  <si>
    <t>Glucokinase</t>
  </si>
  <si>
    <t>YCL040W|HOR3|glucokinase</t>
  </si>
  <si>
    <t>EMI2</t>
  </si>
  <si>
    <t>YDR516C|putative glucokinase</t>
  </si>
  <si>
    <t>YFL051C</t>
  </si>
  <si>
    <t>DLD1</t>
  </si>
  <si>
    <t>YDL174C</t>
  </si>
  <si>
    <t>YNR014W</t>
  </si>
  <si>
    <t>COR1</t>
  </si>
  <si>
    <t>Core subunit of the ubiquinol-cytochrome c reductase complex</t>
  </si>
  <si>
    <t>YBL045C|QCR1|ubiquinol--cytochrome-c reductase subunit COR1</t>
  </si>
  <si>
    <t>Pathway of GRNs</t>
  </si>
  <si>
    <t>cAMP-dependent PKA pathway</t>
  </si>
  <si>
    <t>Snf3/Rgt2-Rgt1 pathway</t>
  </si>
  <si>
    <t>Snf1-Mig1 glucose repression pathway</t>
  </si>
  <si>
    <t>gh1-1</t>
  </si>
  <si>
    <r>
      <t>log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 xml:space="preserve"> transformation of fold change</t>
    </r>
  </si>
  <si>
    <r>
      <rPr>
        <i/>
        <sz val="11"/>
        <color rgb="FF000000"/>
        <rFont val="Times New Roman"/>
        <family val="1"/>
      </rPr>
      <t>Neurospora crassa</t>
    </r>
    <r>
      <rPr>
        <sz val="11"/>
        <color rgb="FF000000"/>
        <rFont val="Times New Roman"/>
        <family val="1"/>
      </rPr>
      <t xml:space="preserve">  b-glucosidase gene </t>
    </r>
    <r>
      <rPr>
        <i/>
        <sz val="11"/>
        <color rgb="FF000000"/>
        <rFont val="Times New Roman"/>
        <family val="1"/>
      </rPr>
      <t>gh1-1</t>
    </r>
    <r>
      <rPr>
        <sz val="11"/>
        <color rgb="FF000000"/>
        <rFont val="Times New Roman"/>
        <family val="1"/>
      </rPr>
      <t xml:space="preserve"> </t>
    </r>
  </si>
  <si>
    <r>
      <t xml:space="preserve">Significantly differentially expressed 519 genes in cellobiose-grown cells compared with glucose-grown cells of engineered </t>
    </r>
    <r>
      <rPr>
        <b/>
        <i/>
        <sz val="11"/>
        <color theme="1"/>
        <rFont val="Times New Roman"/>
        <family val="1"/>
      </rPr>
      <t xml:space="preserve">S. cerevisiae </t>
    </r>
    <r>
      <rPr>
        <b/>
        <sz val="11"/>
        <color theme="1"/>
        <rFont val="Times New Roman"/>
        <family val="1"/>
      </rPr>
      <t>(absolute fold changes ≥ 2.0, p value ≤ 0.001)</t>
    </r>
  </si>
  <si>
    <r>
      <t xml:space="preserve">Significantly differentially expressed 19 transcription factor genes in cellobiose-grown cells compared with glucose-grown cells of engineered </t>
    </r>
    <r>
      <rPr>
        <b/>
        <i/>
        <sz val="11"/>
        <color theme="1"/>
        <rFont val="Times New Roman"/>
        <family val="1"/>
      </rPr>
      <t xml:space="preserve">S. cerevisiae </t>
    </r>
    <r>
      <rPr>
        <b/>
        <sz val="11"/>
        <color theme="1"/>
        <rFont val="Times New Roman"/>
        <family val="1"/>
      </rPr>
      <t>(absolute fold changes ≥ 2.0, p value ≤ 0.001)</t>
    </r>
  </si>
  <si>
    <r>
      <t xml:space="preserve">Significantly differentially expressed 7 genes in GRNs in cellobiose-grown cells compared with glucose-grown cells of engineered </t>
    </r>
    <r>
      <rPr>
        <b/>
        <i/>
        <sz val="11"/>
        <color theme="1"/>
        <rFont val="Times New Roman"/>
        <family val="1"/>
      </rPr>
      <t xml:space="preserve">S. cerevisiae </t>
    </r>
    <r>
      <rPr>
        <b/>
        <sz val="11"/>
        <color theme="1"/>
        <rFont val="Times New Roman"/>
        <family val="1"/>
      </rPr>
      <t>(absolute fold changes ≥ 2.0, p value ≤ 0.001)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</si>
</sst>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b/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165" fontId="2" fillId="0" borderId="0" xfId="0" applyNumberFormat="1" applyFont="1"/>
    <xf numFmtId="0" fontId="3" fillId="2" borderId="1" xfId="0" applyFont="1" applyFill="1" applyBorder="1" applyAlignment="1">
      <alignment horizontal="center"/>
    </xf>
    <xf numFmtId="0" fontId="3" fillId="2" borderId="1" xfId="0" applyNumberFormat="1" applyFont="1" applyFill="1" applyBorder="1" applyAlignment="1" applyProtection="1"/>
    <xf numFmtId="0" fontId="2" fillId="2" borderId="1" xfId="0" applyFont="1" applyFill="1" applyBorder="1"/>
    <xf numFmtId="164" fontId="2" fillId="0" borderId="0" xfId="0" applyNumberFormat="1" applyFont="1"/>
    <xf numFmtId="0" fontId="5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4"/>
  <sheetViews>
    <sheetView tabSelected="1" zoomScale="80" zoomScaleNormal="80" workbookViewId="0">
      <pane xSplit="1" ySplit="3" topLeftCell="B4" activePane="bottomRight" state="frozen"/>
      <selection pane="topRight" activeCell="B1" sqref="B1"/>
      <selection pane="bottomLeft" activeCell="A3" sqref="A3"/>
      <selection pane="bottomRight" activeCell="D7" sqref="D7"/>
    </sheetView>
  </sheetViews>
  <sheetFormatPr defaultRowHeight="14.4" x14ac:dyDescent="0.3"/>
  <cols>
    <col min="1" max="1" width="12.21875" style="2" bestFit="1" customWidth="1"/>
    <col min="2" max="2" width="24" style="2" customWidth="1"/>
    <col min="3" max="3" width="22" style="2" customWidth="1"/>
    <col min="4" max="4" width="25.6640625" style="2" bestFit="1" customWidth="1"/>
    <col min="5" max="5" width="33.109375" style="2" bestFit="1" customWidth="1"/>
    <col min="6" max="6" width="34.44140625" style="2" bestFit="1" customWidth="1"/>
    <col min="7" max="7" width="32.109375" style="2" customWidth="1"/>
    <col min="8" max="8" width="30.6640625" style="2" customWidth="1"/>
  </cols>
  <sheetData>
    <row r="1" spans="1:8" ht="25.2" customHeight="1" x14ac:dyDescent="0.3">
      <c r="A1" s="13" t="s">
        <v>1391</v>
      </c>
      <c r="B1" s="13"/>
      <c r="C1" s="13"/>
      <c r="D1" s="13"/>
      <c r="E1" s="13"/>
      <c r="F1" s="13"/>
      <c r="G1" s="13"/>
      <c r="H1" s="13"/>
    </row>
    <row r="2" spans="1:8" ht="26.4" customHeight="1" x14ac:dyDescent="0.3">
      <c r="A2" s="9" t="s">
        <v>0</v>
      </c>
      <c r="B2" s="10" t="s">
        <v>1037</v>
      </c>
      <c r="C2" s="11" t="s">
        <v>1389</v>
      </c>
      <c r="D2" s="4" t="s">
        <v>1038</v>
      </c>
      <c r="E2" s="5" t="s">
        <v>1042</v>
      </c>
      <c r="F2" s="5" t="s">
        <v>1041</v>
      </c>
      <c r="G2" s="9" t="s">
        <v>1039</v>
      </c>
      <c r="H2" s="9"/>
    </row>
    <row r="3" spans="1:8" x14ac:dyDescent="0.3">
      <c r="A3" s="9"/>
      <c r="B3" s="10"/>
      <c r="C3" s="12"/>
      <c r="D3" s="4" t="s">
        <v>1</v>
      </c>
      <c r="E3" s="4" t="s">
        <v>1040</v>
      </c>
      <c r="F3" s="4" t="s">
        <v>1040</v>
      </c>
      <c r="G3" s="4" t="s">
        <v>2</v>
      </c>
      <c r="H3" s="4" t="s">
        <v>3</v>
      </c>
    </row>
    <row r="4" spans="1:8" s="1" customFormat="1" ht="13.8" x14ac:dyDescent="0.25">
      <c r="A4" s="6" t="s">
        <v>1029</v>
      </c>
      <c r="B4" s="7">
        <v>-64.17</v>
      </c>
      <c r="C4" s="7">
        <v>-6.0038270781114766</v>
      </c>
      <c r="D4" s="3">
        <v>2.3300000000000002E-37</v>
      </c>
      <c r="E4" s="7">
        <v>105.53</v>
      </c>
      <c r="F4" s="7">
        <v>6771.84</v>
      </c>
      <c r="G4" s="2" t="s">
        <v>1030</v>
      </c>
      <c r="H4" s="2" t="s">
        <v>1031</v>
      </c>
    </row>
    <row r="5" spans="1:8" s="1" customFormat="1" ht="13.8" x14ac:dyDescent="0.25">
      <c r="A5" s="6" t="s">
        <v>1011</v>
      </c>
      <c r="B5" s="7">
        <v>-44.22</v>
      </c>
      <c r="C5" s="7">
        <v>-5.4666271200415011</v>
      </c>
      <c r="D5" s="3">
        <v>4.29E-8</v>
      </c>
      <c r="E5" s="7">
        <v>92.78</v>
      </c>
      <c r="F5" s="7">
        <v>4102.79</v>
      </c>
      <c r="G5" s="2" t="s">
        <v>7</v>
      </c>
      <c r="H5" s="2" t="s">
        <v>1011</v>
      </c>
    </row>
    <row r="6" spans="1:8" s="1" customFormat="1" ht="13.8" x14ac:dyDescent="0.25">
      <c r="A6" s="6" t="s">
        <v>966</v>
      </c>
      <c r="B6" s="7">
        <v>-39.61</v>
      </c>
      <c r="C6" s="7">
        <v>-5.3077927961298954</v>
      </c>
      <c r="D6" s="3">
        <v>3.9300000000000001E-42</v>
      </c>
      <c r="E6" s="7">
        <v>114.58</v>
      </c>
      <c r="F6" s="7">
        <v>4538.2700000000004</v>
      </c>
      <c r="G6" s="2" t="s">
        <v>967</v>
      </c>
      <c r="H6" s="2" t="s">
        <v>968</v>
      </c>
    </row>
    <row r="7" spans="1:8" s="1" customFormat="1" ht="13.8" x14ac:dyDescent="0.25">
      <c r="A7" s="6" t="s">
        <v>997</v>
      </c>
      <c r="B7" s="7">
        <v>-38.520000000000003</v>
      </c>
      <c r="C7" s="7">
        <v>-5.2675357980687352</v>
      </c>
      <c r="D7" s="3">
        <v>2.1199999999999999E-173</v>
      </c>
      <c r="E7" s="7">
        <v>16.96</v>
      </c>
      <c r="F7" s="7">
        <v>653.41</v>
      </c>
      <c r="G7" s="2" t="s">
        <v>555</v>
      </c>
      <c r="H7" s="2" t="s">
        <v>998</v>
      </c>
    </row>
    <row r="8" spans="1:8" s="1" customFormat="1" ht="13.8" x14ac:dyDescent="0.25">
      <c r="A8" s="6" t="s">
        <v>1014</v>
      </c>
      <c r="B8" s="7">
        <v>-37.840000000000003</v>
      </c>
      <c r="C8" s="7">
        <v>-5.2418401835646709</v>
      </c>
      <c r="D8" s="3">
        <v>6.3099999999999996E-31</v>
      </c>
      <c r="E8" s="7">
        <v>32.42</v>
      </c>
      <c r="F8" s="7">
        <v>1226.82</v>
      </c>
      <c r="G8" s="2" t="s">
        <v>1015</v>
      </c>
      <c r="H8" s="2" t="s">
        <v>1016</v>
      </c>
    </row>
    <row r="9" spans="1:8" s="1" customFormat="1" ht="13.8" x14ac:dyDescent="0.25">
      <c r="A9" s="6" t="s">
        <v>1035</v>
      </c>
      <c r="B9" s="7">
        <v>-34.049999999999997</v>
      </c>
      <c r="C9" s="7">
        <v>-5.0895828931247085</v>
      </c>
      <c r="D9" s="3">
        <v>1.67E-18</v>
      </c>
      <c r="E9" s="7">
        <v>124.01</v>
      </c>
      <c r="F9" s="7">
        <v>4222.13</v>
      </c>
      <c r="G9" s="2" t="s">
        <v>36</v>
      </c>
      <c r="H9" s="2" t="s">
        <v>1036</v>
      </c>
    </row>
    <row r="10" spans="1:8" s="1" customFormat="1" ht="13.8" x14ac:dyDescent="0.25">
      <c r="A10" s="6" t="s">
        <v>982</v>
      </c>
      <c r="B10" s="7">
        <v>-29.7</v>
      </c>
      <c r="C10" s="7">
        <v>-4.8923910259134038</v>
      </c>
      <c r="D10" s="3">
        <v>5.42E-71</v>
      </c>
      <c r="E10" s="7">
        <v>9.84</v>
      </c>
      <c r="F10" s="7">
        <v>292.33999999999997</v>
      </c>
      <c r="G10" s="2" t="s">
        <v>983</v>
      </c>
      <c r="H10" s="2" t="s">
        <v>984</v>
      </c>
    </row>
    <row r="11" spans="1:8" s="1" customFormat="1" ht="13.8" x14ac:dyDescent="0.25">
      <c r="A11" s="6" t="s">
        <v>888</v>
      </c>
      <c r="B11" s="7">
        <v>-22.13</v>
      </c>
      <c r="C11" s="7">
        <v>-4.4679315460262874</v>
      </c>
      <c r="D11" s="3">
        <v>5.0900000000000004E-28</v>
      </c>
      <c r="E11" s="7">
        <v>69.7</v>
      </c>
      <c r="F11" s="7">
        <v>1542.56</v>
      </c>
      <c r="G11" s="2" t="s">
        <v>889</v>
      </c>
      <c r="H11" s="2" t="s">
        <v>890</v>
      </c>
    </row>
    <row r="12" spans="1:8" s="1" customFormat="1" ht="13.8" x14ac:dyDescent="0.25">
      <c r="A12" s="6" t="s">
        <v>642</v>
      </c>
      <c r="B12" s="7">
        <v>-17.11</v>
      </c>
      <c r="C12" s="7">
        <v>-4.0967678547146891</v>
      </c>
      <c r="D12" s="3">
        <v>1.38E-47</v>
      </c>
      <c r="E12" s="7">
        <v>24.93</v>
      </c>
      <c r="F12" s="7">
        <v>426.58</v>
      </c>
      <c r="G12" s="2" t="s">
        <v>643</v>
      </c>
      <c r="H12" s="2" t="s">
        <v>644</v>
      </c>
    </row>
    <row r="13" spans="1:8" s="1" customFormat="1" ht="13.8" x14ac:dyDescent="0.25">
      <c r="A13" s="6" t="s">
        <v>1005</v>
      </c>
      <c r="B13" s="7">
        <v>-16.21</v>
      </c>
      <c r="C13" s="7">
        <v>-4.0188121857428172</v>
      </c>
      <c r="D13" s="3">
        <v>6.9899999999999999E-60</v>
      </c>
      <c r="E13" s="7">
        <v>24.68</v>
      </c>
      <c r="F13" s="7">
        <v>400.11</v>
      </c>
      <c r="G13" s="2" t="s">
        <v>1006</v>
      </c>
      <c r="H13" s="2" t="s">
        <v>1007</v>
      </c>
    </row>
    <row r="14" spans="1:8" s="1" customFormat="1" ht="13.8" x14ac:dyDescent="0.25">
      <c r="A14" s="6" t="s">
        <v>858</v>
      </c>
      <c r="B14" s="7">
        <v>-14.7</v>
      </c>
      <c r="C14" s="7">
        <v>-3.8777442499490022</v>
      </c>
      <c r="D14" s="3">
        <v>3.9100000000000002E-51</v>
      </c>
      <c r="E14" s="7">
        <v>37.119999999999997</v>
      </c>
      <c r="F14" s="7">
        <v>545.83000000000004</v>
      </c>
      <c r="G14" s="2" t="s">
        <v>859</v>
      </c>
      <c r="H14" s="2" t="s">
        <v>860</v>
      </c>
    </row>
    <row r="15" spans="1:8" s="1" customFormat="1" ht="13.8" x14ac:dyDescent="0.25">
      <c r="A15" s="6" t="s">
        <v>940</v>
      </c>
      <c r="B15" s="7">
        <v>-14.2</v>
      </c>
      <c r="C15" s="7">
        <v>-3.8278190246173196</v>
      </c>
      <c r="D15" s="3">
        <v>2.2199999999999999E-253</v>
      </c>
      <c r="E15" s="7">
        <v>55.01</v>
      </c>
      <c r="F15" s="7">
        <v>780.96</v>
      </c>
      <c r="G15" s="2" t="s">
        <v>941</v>
      </c>
      <c r="H15" s="2" t="s">
        <v>942</v>
      </c>
    </row>
    <row r="16" spans="1:8" s="1" customFormat="1" ht="13.8" x14ac:dyDescent="0.25">
      <c r="A16" s="6" t="s">
        <v>441</v>
      </c>
      <c r="B16" s="7">
        <v>-14.2</v>
      </c>
      <c r="C16" s="7">
        <v>-3.8278190246173196</v>
      </c>
      <c r="D16" s="3">
        <v>1.51E-52</v>
      </c>
      <c r="E16" s="7">
        <v>39.64</v>
      </c>
      <c r="F16" s="7">
        <v>562.67999999999995</v>
      </c>
      <c r="G16" s="2" t="s">
        <v>442</v>
      </c>
      <c r="H16" s="2" t="s">
        <v>443</v>
      </c>
    </row>
    <row r="17" spans="1:8" s="1" customFormat="1" ht="13.8" x14ac:dyDescent="0.25">
      <c r="A17" s="6" t="s">
        <v>952</v>
      </c>
      <c r="B17" s="7">
        <v>-13.85</v>
      </c>
      <c r="C17" s="7">
        <v>-3.7918140711618262</v>
      </c>
      <c r="D17" s="3">
        <v>2.72E-163</v>
      </c>
      <c r="E17" s="7">
        <v>131.53</v>
      </c>
      <c r="F17" s="7">
        <v>1821.83</v>
      </c>
      <c r="G17" s="2" t="s">
        <v>953</v>
      </c>
      <c r="H17" s="2" t="s">
        <v>954</v>
      </c>
    </row>
    <row r="18" spans="1:8" s="1" customFormat="1" ht="13.8" x14ac:dyDescent="0.25">
      <c r="A18" s="6" t="s">
        <v>459</v>
      </c>
      <c r="B18" s="7">
        <v>-13.49</v>
      </c>
      <c r="C18" s="7">
        <v>-3.7538184431735426</v>
      </c>
      <c r="D18" s="3">
        <v>1.2E-56</v>
      </c>
      <c r="E18" s="7">
        <v>43.04</v>
      </c>
      <c r="F18" s="7">
        <v>580.79</v>
      </c>
      <c r="G18" s="2" t="s">
        <v>460</v>
      </c>
      <c r="H18" s="2" t="s">
        <v>461</v>
      </c>
    </row>
    <row r="19" spans="1:8" s="1" customFormat="1" ht="13.8" x14ac:dyDescent="0.25">
      <c r="A19" s="6" t="s">
        <v>928</v>
      </c>
      <c r="B19" s="7">
        <v>-12.35</v>
      </c>
      <c r="C19" s="7">
        <v>-3.6264391366973152</v>
      </c>
      <c r="D19" s="3">
        <v>4.4599999999999997E-126</v>
      </c>
      <c r="E19" s="7">
        <v>194.22</v>
      </c>
      <c r="F19" s="7">
        <v>2398.9</v>
      </c>
      <c r="G19" s="2" t="s">
        <v>929</v>
      </c>
      <c r="H19" s="2" t="s">
        <v>930</v>
      </c>
    </row>
    <row r="20" spans="1:8" s="1" customFormat="1" ht="13.8" x14ac:dyDescent="0.25">
      <c r="A20" s="6" t="s">
        <v>902</v>
      </c>
      <c r="B20" s="7">
        <v>-11.54</v>
      </c>
      <c r="C20" s="7">
        <v>-3.5285713188707577</v>
      </c>
      <c r="D20" s="3">
        <v>1.7700000000000001E-151</v>
      </c>
      <c r="E20" s="7">
        <v>26.08</v>
      </c>
      <c r="F20" s="7">
        <v>301.02</v>
      </c>
      <c r="G20" s="2" t="s">
        <v>903</v>
      </c>
      <c r="H20" s="2" t="s">
        <v>904</v>
      </c>
    </row>
    <row r="21" spans="1:8" s="1" customFormat="1" ht="13.8" x14ac:dyDescent="0.25">
      <c r="A21" s="6" t="s">
        <v>879</v>
      </c>
      <c r="B21" s="7">
        <v>-11.1</v>
      </c>
      <c r="C21" s="7">
        <v>-3.4724877714627436</v>
      </c>
      <c r="D21" s="3">
        <v>4.7299999999999997E-69</v>
      </c>
      <c r="E21" s="7">
        <v>34.549999999999997</v>
      </c>
      <c r="F21" s="7">
        <v>383.54</v>
      </c>
      <c r="G21" s="2" t="s">
        <v>880</v>
      </c>
      <c r="H21" s="2" t="s">
        <v>881</v>
      </c>
    </row>
    <row r="22" spans="1:8" s="1" customFormat="1" ht="13.8" x14ac:dyDescent="0.25">
      <c r="A22" s="6" t="s">
        <v>337</v>
      </c>
      <c r="B22" s="7">
        <v>-11.07</v>
      </c>
      <c r="C22" s="7">
        <v>-3.4685833170068281</v>
      </c>
      <c r="D22" s="3">
        <v>3.8699999999999997E-207</v>
      </c>
      <c r="E22" s="7">
        <v>251.65</v>
      </c>
      <c r="F22" s="7">
        <v>2785.81</v>
      </c>
      <c r="G22" s="2" t="s">
        <v>36</v>
      </c>
      <c r="H22" s="2" t="s">
        <v>338</v>
      </c>
    </row>
    <row r="23" spans="1:8" s="1" customFormat="1" ht="13.8" x14ac:dyDescent="0.25">
      <c r="A23" s="6" t="s">
        <v>1017</v>
      </c>
      <c r="B23" s="7">
        <v>-10.76</v>
      </c>
      <c r="C23" s="7">
        <v>-3.4276061727818998</v>
      </c>
      <c r="D23" s="3">
        <v>7.1800000000000001E-105</v>
      </c>
      <c r="E23" s="7">
        <v>24.28</v>
      </c>
      <c r="F23" s="7">
        <v>261.25</v>
      </c>
      <c r="G23" s="2" t="s">
        <v>1018</v>
      </c>
      <c r="H23" s="2" t="s">
        <v>1019</v>
      </c>
    </row>
    <row r="24" spans="1:8" s="1" customFormat="1" ht="13.8" x14ac:dyDescent="0.25">
      <c r="A24" s="6" t="s">
        <v>682</v>
      </c>
      <c r="B24" s="7">
        <v>-10.25</v>
      </c>
      <c r="C24" s="7">
        <v>-3.3575520046180838</v>
      </c>
      <c r="D24" s="3">
        <v>7.8900000000000004E-60</v>
      </c>
      <c r="E24" s="7">
        <v>11.92</v>
      </c>
      <c r="F24" s="7">
        <v>122.16</v>
      </c>
      <c r="G24" s="2" t="s">
        <v>683</v>
      </c>
      <c r="H24" s="2" t="s">
        <v>684</v>
      </c>
    </row>
    <row r="25" spans="1:8" s="1" customFormat="1" ht="13.8" x14ac:dyDescent="0.25">
      <c r="A25" s="6" t="s">
        <v>1026</v>
      </c>
      <c r="B25" s="7">
        <v>-10.029999999999999</v>
      </c>
      <c r="C25" s="7">
        <v>-3.3262497008374559</v>
      </c>
      <c r="D25" s="3">
        <v>5.62E-90</v>
      </c>
      <c r="E25" s="7">
        <v>76.61</v>
      </c>
      <c r="F25" s="7">
        <v>768.15</v>
      </c>
      <c r="G25" s="2" t="s">
        <v>1027</v>
      </c>
      <c r="H25" s="2" t="s">
        <v>1028</v>
      </c>
    </row>
    <row r="26" spans="1:8" s="1" customFormat="1" ht="13.8" x14ac:dyDescent="0.25">
      <c r="A26" s="6" t="s">
        <v>691</v>
      </c>
      <c r="B26" s="7">
        <v>-9.82</v>
      </c>
      <c r="C26" s="7">
        <v>-3.2957230245399685</v>
      </c>
      <c r="D26" s="3">
        <v>2.22E-50</v>
      </c>
      <c r="E26" s="7">
        <v>15.8</v>
      </c>
      <c r="F26" s="7">
        <v>155.12</v>
      </c>
      <c r="G26" s="2" t="s">
        <v>692</v>
      </c>
      <c r="H26" s="2" t="s">
        <v>693</v>
      </c>
    </row>
    <row r="27" spans="1:8" s="1" customFormat="1" ht="13.8" x14ac:dyDescent="0.25">
      <c r="A27" s="6" t="s">
        <v>955</v>
      </c>
      <c r="B27" s="7">
        <v>-9.56</v>
      </c>
      <c r="C27" s="7">
        <v>-3.2570106182060239</v>
      </c>
      <c r="D27" s="3">
        <v>1.43E-37</v>
      </c>
      <c r="E27" s="7">
        <v>86.79</v>
      </c>
      <c r="F27" s="7">
        <v>829.97</v>
      </c>
      <c r="G27" s="2" t="s">
        <v>264</v>
      </c>
      <c r="H27" s="2" t="s">
        <v>956</v>
      </c>
    </row>
    <row r="28" spans="1:8" s="1" customFormat="1" ht="13.8" x14ac:dyDescent="0.25">
      <c r="A28" s="6" t="s">
        <v>444</v>
      </c>
      <c r="B28" s="7">
        <v>-9.24</v>
      </c>
      <c r="C28" s="7">
        <v>-3.2078928516413328</v>
      </c>
      <c r="D28" s="3">
        <v>7.3899999999999998E-108</v>
      </c>
      <c r="E28" s="7">
        <v>95.59</v>
      </c>
      <c r="F28" s="7">
        <v>883.12</v>
      </c>
      <c r="G28" s="2" t="s">
        <v>445</v>
      </c>
      <c r="H28" s="2" t="s">
        <v>446</v>
      </c>
    </row>
    <row r="29" spans="1:8" s="1" customFormat="1" ht="13.8" x14ac:dyDescent="0.25">
      <c r="A29" s="6" t="s">
        <v>339</v>
      </c>
      <c r="B29" s="7">
        <v>-8.8699999999999992</v>
      </c>
      <c r="C29" s="7">
        <v>-3.1489341045263388</v>
      </c>
      <c r="D29" s="3">
        <v>6.9899999999999999E-60</v>
      </c>
      <c r="E29" s="7">
        <v>14.45</v>
      </c>
      <c r="F29" s="7">
        <v>128.22999999999999</v>
      </c>
      <c r="G29" s="2" t="s">
        <v>340</v>
      </c>
      <c r="H29" s="2" t="s">
        <v>339</v>
      </c>
    </row>
    <row r="30" spans="1:8" s="1" customFormat="1" ht="13.8" x14ac:dyDescent="0.25">
      <c r="A30" s="6" t="s">
        <v>937</v>
      </c>
      <c r="B30" s="7">
        <v>-8.77</v>
      </c>
      <c r="C30" s="7">
        <v>-3.1325768426700082</v>
      </c>
      <c r="D30" s="3">
        <v>3.16E-28</v>
      </c>
      <c r="E30" s="7">
        <v>49.08</v>
      </c>
      <c r="F30" s="7">
        <v>430.44</v>
      </c>
      <c r="G30" s="2" t="s">
        <v>36</v>
      </c>
      <c r="H30" s="2" t="s">
        <v>938</v>
      </c>
    </row>
    <row r="31" spans="1:8" s="1" customFormat="1" ht="13.8" x14ac:dyDescent="0.25">
      <c r="A31" s="6" t="s">
        <v>577</v>
      </c>
      <c r="B31" s="7">
        <v>-8.51</v>
      </c>
      <c r="C31" s="7">
        <v>-3.0891591319112379</v>
      </c>
      <c r="D31" s="3">
        <v>1.05E-33</v>
      </c>
      <c r="E31" s="7">
        <v>25.05</v>
      </c>
      <c r="F31" s="7">
        <v>213.19</v>
      </c>
      <c r="G31" s="2" t="s">
        <v>578</v>
      </c>
      <c r="H31" s="2" t="s">
        <v>579</v>
      </c>
    </row>
    <row r="32" spans="1:8" s="1" customFormat="1" ht="13.8" x14ac:dyDescent="0.25">
      <c r="A32" s="6" t="s">
        <v>1043</v>
      </c>
      <c r="B32" s="7">
        <v>-8.35</v>
      </c>
      <c r="C32" s="7">
        <v>-3.0617761975866902</v>
      </c>
      <c r="D32" s="3">
        <v>2.3700000000000001E-61</v>
      </c>
      <c r="E32" s="7">
        <v>16.079999999999998</v>
      </c>
      <c r="F32" s="7">
        <v>134.35</v>
      </c>
      <c r="G32" s="2" t="s">
        <v>1044</v>
      </c>
      <c r="H32" s="2" t="s">
        <v>1045</v>
      </c>
    </row>
    <row r="33" spans="1:8" s="1" customFormat="1" ht="13.8" x14ac:dyDescent="0.25">
      <c r="A33" s="6" t="s">
        <v>567</v>
      </c>
      <c r="B33" s="7">
        <v>-7.68</v>
      </c>
      <c r="C33" s="7">
        <v>-2.9411063109464317</v>
      </c>
      <c r="D33" s="3">
        <v>1.1099999999999999E-46</v>
      </c>
      <c r="E33" s="7">
        <v>184.3</v>
      </c>
      <c r="F33" s="7">
        <v>1415.48</v>
      </c>
      <c r="G33" s="2" t="s">
        <v>7</v>
      </c>
      <c r="H33" s="2" t="s">
        <v>567</v>
      </c>
    </row>
    <row r="34" spans="1:8" s="1" customFormat="1" ht="13.8" x14ac:dyDescent="0.25">
      <c r="A34" s="6" t="s">
        <v>783</v>
      </c>
      <c r="B34" s="7">
        <v>-7.6</v>
      </c>
      <c r="C34" s="7">
        <v>-2.925999418556223</v>
      </c>
      <c r="D34" s="3">
        <v>3.7099999999999999E-135</v>
      </c>
      <c r="E34" s="7">
        <v>275.95</v>
      </c>
      <c r="F34" s="7">
        <v>2096.92</v>
      </c>
      <c r="G34" s="2" t="s">
        <v>784</v>
      </c>
      <c r="H34" s="2" t="s">
        <v>785</v>
      </c>
    </row>
    <row r="35" spans="1:8" s="1" customFormat="1" ht="13.8" x14ac:dyDescent="0.25">
      <c r="A35" s="6" t="s">
        <v>980</v>
      </c>
      <c r="B35" s="7">
        <v>-7.35</v>
      </c>
      <c r="C35" s="7">
        <v>-2.8777442499490018</v>
      </c>
      <c r="D35" s="3">
        <v>2.3800000000000002E-129</v>
      </c>
      <c r="E35" s="7">
        <v>163.57</v>
      </c>
      <c r="F35" s="7">
        <v>1201.8</v>
      </c>
      <c r="G35" s="2" t="s">
        <v>445</v>
      </c>
      <c r="H35" s="2" t="s">
        <v>981</v>
      </c>
    </row>
    <row r="36" spans="1:8" s="1" customFormat="1" ht="13.8" x14ac:dyDescent="0.25">
      <c r="A36" s="6" t="s">
        <v>406</v>
      </c>
      <c r="B36" s="7">
        <v>-7.31</v>
      </c>
      <c r="C36" s="7">
        <v>-2.8698714061777126</v>
      </c>
      <c r="D36" s="3">
        <v>3.9700000000000001E-72</v>
      </c>
      <c r="E36" s="7">
        <v>100.22</v>
      </c>
      <c r="F36" s="7">
        <v>732.73</v>
      </c>
      <c r="G36" s="2" t="s">
        <v>407</v>
      </c>
      <c r="H36" s="2" t="s">
        <v>408</v>
      </c>
    </row>
    <row r="37" spans="1:8" s="1" customFormat="1" ht="13.8" x14ac:dyDescent="0.25">
      <c r="A37" s="6" t="s">
        <v>754</v>
      </c>
      <c r="B37" s="7">
        <v>-7.09</v>
      </c>
      <c r="C37" s="7">
        <v>-2.8257856274647914</v>
      </c>
      <c r="D37" s="3">
        <v>3.9100000000000003E-24</v>
      </c>
      <c r="E37" s="7">
        <v>23.12</v>
      </c>
      <c r="F37" s="7">
        <v>163.86</v>
      </c>
      <c r="G37" s="2" t="s">
        <v>506</v>
      </c>
      <c r="H37" s="2" t="s">
        <v>755</v>
      </c>
    </row>
    <row r="38" spans="1:8" s="1" customFormat="1" ht="13.8" x14ac:dyDescent="0.25">
      <c r="A38" s="6" t="s">
        <v>820</v>
      </c>
      <c r="B38" s="7">
        <v>-7.07</v>
      </c>
      <c r="C38" s="7">
        <v>-2.821710215034674</v>
      </c>
      <c r="D38" s="3">
        <v>9.1999999999999999E-36</v>
      </c>
      <c r="E38" s="7">
        <v>55.19</v>
      </c>
      <c r="F38" s="7">
        <v>390.02</v>
      </c>
      <c r="G38" s="2" t="s">
        <v>821</v>
      </c>
      <c r="H38" s="2" t="s">
        <v>822</v>
      </c>
    </row>
    <row r="39" spans="1:8" s="1" customFormat="1" ht="13.8" x14ac:dyDescent="0.25">
      <c r="A39" s="6" t="s">
        <v>679</v>
      </c>
      <c r="B39" s="7">
        <v>-6.84</v>
      </c>
      <c r="C39" s="7">
        <v>-2.773996325111173</v>
      </c>
      <c r="D39" s="3">
        <v>1.6399999999999999E-49</v>
      </c>
      <c r="E39" s="7">
        <v>82.97</v>
      </c>
      <c r="F39" s="7">
        <v>567.65</v>
      </c>
      <c r="G39" s="2" t="s">
        <v>680</v>
      </c>
      <c r="H39" s="2" t="s">
        <v>681</v>
      </c>
    </row>
    <row r="40" spans="1:8" s="1" customFormat="1" ht="13.8" x14ac:dyDescent="0.25">
      <c r="A40" s="6" t="s">
        <v>370</v>
      </c>
      <c r="B40" s="7">
        <v>-6.67</v>
      </c>
      <c r="C40" s="7">
        <v>-2.7376867614098601</v>
      </c>
      <c r="D40" s="3">
        <v>3.8400000000000001E-25</v>
      </c>
      <c r="E40" s="7">
        <v>8.9499999999999993</v>
      </c>
      <c r="F40" s="7">
        <v>59.7</v>
      </c>
      <c r="G40" s="2" t="s">
        <v>7</v>
      </c>
      <c r="H40" s="2" t="s">
        <v>370</v>
      </c>
    </row>
    <row r="41" spans="1:8" s="1" customFormat="1" ht="13.8" x14ac:dyDescent="0.25">
      <c r="A41" s="6" t="s">
        <v>1064</v>
      </c>
      <c r="B41" s="7">
        <v>-6.38</v>
      </c>
      <c r="C41" s="7">
        <v>-2.6735564239901448</v>
      </c>
      <c r="D41" s="3">
        <v>9.0600000000000006E-39</v>
      </c>
      <c r="E41" s="7">
        <v>595.94000000000005</v>
      </c>
      <c r="F41" s="7">
        <v>3799.86</v>
      </c>
      <c r="G41" s="2" t="s">
        <v>875</v>
      </c>
      <c r="H41" s="2" t="s">
        <v>1065</v>
      </c>
    </row>
    <row r="42" spans="1:8" s="1" customFormat="1" ht="13.8" x14ac:dyDescent="0.25">
      <c r="A42" s="6" t="s">
        <v>795</v>
      </c>
      <c r="B42" s="7">
        <v>-6.36</v>
      </c>
      <c r="C42" s="7">
        <v>-2.6690267655096309</v>
      </c>
      <c r="D42" s="3">
        <v>1.84E-39</v>
      </c>
      <c r="E42" s="7">
        <v>82.38</v>
      </c>
      <c r="F42" s="7">
        <v>523.82000000000005</v>
      </c>
      <c r="G42" s="2" t="s">
        <v>796</v>
      </c>
      <c r="H42" s="2" t="s">
        <v>797</v>
      </c>
    </row>
    <row r="43" spans="1:8" s="1" customFormat="1" ht="13.8" x14ac:dyDescent="0.25">
      <c r="A43" s="6" t="s">
        <v>1046</v>
      </c>
      <c r="B43" s="7">
        <v>-6.24</v>
      </c>
      <c r="C43" s="7">
        <v>-2.6415460290875239</v>
      </c>
      <c r="D43" s="3">
        <v>3.48E-20</v>
      </c>
      <c r="E43" s="7">
        <v>20.8</v>
      </c>
      <c r="F43" s="7">
        <v>129.88999999999999</v>
      </c>
      <c r="G43" s="2" t="s">
        <v>1047</v>
      </c>
      <c r="H43" s="2" t="s">
        <v>1048</v>
      </c>
    </row>
    <row r="44" spans="1:8" s="1" customFormat="1" ht="13.8" x14ac:dyDescent="0.25">
      <c r="A44" s="6" t="s">
        <v>295</v>
      </c>
      <c r="B44" s="7">
        <v>-6.06</v>
      </c>
      <c r="C44" s="7">
        <v>-2.5993177936982264</v>
      </c>
      <c r="D44" s="3">
        <v>1.03E-206</v>
      </c>
      <c r="E44" s="7">
        <v>204.83</v>
      </c>
      <c r="F44" s="7">
        <v>1241.8699999999999</v>
      </c>
      <c r="G44" s="2" t="s">
        <v>296</v>
      </c>
      <c r="H44" s="2" t="s">
        <v>297</v>
      </c>
    </row>
    <row r="45" spans="1:8" s="1" customFormat="1" ht="13.8" x14ac:dyDescent="0.25">
      <c r="A45" s="6" t="s">
        <v>1057</v>
      </c>
      <c r="B45" s="7">
        <v>-6</v>
      </c>
      <c r="C45" s="7">
        <v>-2.5849625007211561</v>
      </c>
      <c r="D45" s="3">
        <v>2.2099999999999999E-8</v>
      </c>
      <c r="E45" s="7">
        <v>3.29</v>
      </c>
      <c r="F45" s="7">
        <v>19.77</v>
      </c>
      <c r="G45" s="2" t="s">
        <v>1058</v>
      </c>
      <c r="H45" s="2" t="s">
        <v>1059</v>
      </c>
    </row>
    <row r="46" spans="1:8" s="1" customFormat="1" ht="13.8" x14ac:dyDescent="0.25">
      <c r="A46" s="6" t="s">
        <v>931</v>
      </c>
      <c r="B46" s="7">
        <v>-5.89</v>
      </c>
      <c r="C46" s="7">
        <v>-2.5582676340557358</v>
      </c>
      <c r="D46" s="3">
        <v>4.3199999999999999E-91</v>
      </c>
      <c r="E46" s="7">
        <v>41.27</v>
      </c>
      <c r="F46" s="7">
        <v>242.91</v>
      </c>
      <c r="G46" s="2" t="s">
        <v>932</v>
      </c>
      <c r="H46" s="2" t="s">
        <v>933</v>
      </c>
    </row>
    <row r="47" spans="1:8" s="1" customFormat="1" ht="13.8" x14ac:dyDescent="0.25">
      <c r="A47" s="6" t="s">
        <v>488</v>
      </c>
      <c r="B47" s="7">
        <v>-5.8</v>
      </c>
      <c r="C47" s="7">
        <v>-2.5360529002402097</v>
      </c>
      <c r="D47" s="3">
        <v>8.1799999999999996E-159</v>
      </c>
      <c r="E47" s="7">
        <v>71.599999999999994</v>
      </c>
      <c r="F47" s="7">
        <v>414.96</v>
      </c>
      <c r="G47" s="2" t="s">
        <v>489</v>
      </c>
      <c r="H47" s="2" t="s">
        <v>490</v>
      </c>
    </row>
    <row r="48" spans="1:8" s="1" customFormat="1" ht="13.8" x14ac:dyDescent="0.25">
      <c r="A48" s="6" t="s">
        <v>742</v>
      </c>
      <c r="B48" s="7">
        <v>-5.72</v>
      </c>
      <c r="C48" s="7">
        <v>-2.5160151470036647</v>
      </c>
      <c r="D48" s="3">
        <v>6.9999999999999996E-47</v>
      </c>
      <c r="E48" s="7">
        <v>21.33</v>
      </c>
      <c r="F48" s="7">
        <v>122.11</v>
      </c>
      <c r="G48" s="2" t="s">
        <v>743</v>
      </c>
      <c r="H48" s="2" t="s">
        <v>744</v>
      </c>
    </row>
    <row r="49" spans="1:8" s="1" customFormat="1" ht="13.8" x14ac:dyDescent="0.25">
      <c r="A49" s="6" t="s">
        <v>280</v>
      </c>
      <c r="B49" s="7">
        <v>-5.71</v>
      </c>
      <c r="C49" s="7">
        <v>-2.5134907455881184</v>
      </c>
      <c r="D49" s="3">
        <v>0</v>
      </c>
      <c r="E49" s="7">
        <v>259.62</v>
      </c>
      <c r="F49" s="7">
        <v>1482.12</v>
      </c>
      <c r="G49" s="2" t="s">
        <v>281</v>
      </c>
      <c r="H49" s="2" t="s">
        <v>282</v>
      </c>
    </row>
    <row r="50" spans="1:8" s="1" customFormat="1" ht="13.8" x14ac:dyDescent="0.25">
      <c r="A50" s="6" t="s">
        <v>780</v>
      </c>
      <c r="B50" s="7">
        <v>-5.68</v>
      </c>
      <c r="C50" s="7">
        <v>-2.5058909297299574</v>
      </c>
      <c r="D50" s="3">
        <v>6.1499999999999998E-135</v>
      </c>
      <c r="E50" s="7">
        <v>88.67</v>
      </c>
      <c r="F50" s="7">
        <v>503.46</v>
      </c>
      <c r="G50" s="2" t="s">
        <v>781</v>
      </c>
      <c r="H50" s="2" t="s">
        <v>782</v>
      </c>
    </row>
    <row r="51" spans="1:8" s="1" customFormat="1" ht="13.8" x14ac:dyDescent="0.25">
      <c r="A51" s="6" t="s">
        <v>498</v>
      </c>
      <c r="B51" s="7">
        <v>-5.54</v>
      </c>
      <c r="C51" s="7">
        <v>-2.4698859762744636</v>
      </c>
      <c r="D51" s="3">
        <v>7.9900000000000004E-5</v>
      </c>
      <c r="E51" s="7">
        <v>1.99</v>
      </c>
      <c r="F51" s="7">
        <v>11.03</v>
      </c>
      <c r="G51" s="2" t="s">
        <v>7</v>
      </c>
      <c r="H51" s="2" t="s">
        <v>498</v>
      </c>
    </row>
    <row r="52" spans="1:8" s="1" customFormat="1" ht="13.8" x14ac:dyDescent="0.25">
      <c r="A52" s="6" t="s">
        <v>412</v>
      </c>
      <c r="B52" s="7">
        <v>-5.46</v>
      </c>
      <c r="C52" s="7">
        <v>-2.4489009511451276</v>
      </c>
      <c r="D52" s="3">
        <v>1.6400000000000001E-67</v>
      </c>
      <c r="E52" s="7">
        <v>33.229999999999997</v>
      </c>
      <c r="F52" s="7">
        <v>181.52</v>
      </c>
      <c r="G52" s="2" t="s">
        <v>220</v>
      </c>
      <c r="H52" s="2" t="s">
        <v>413</v>
      </c>
    </row>
    <row r="53" spans="1:8" s="1" customFormat="1" ht="13.8" x14ac:dyDescent="0.25">
      <c r="A53" s="6" t="s">
        <v>1020</v>
      </c>
      <c r="B53" s="7">
        <v>-5.39</v>
      </c>
      <c r="C53" s="7">
        <v>-2.4302852729777809</v>
      </c>
      <c r="D53" s="3">
        <v>2.5699999999999999E-35</v>
      </c>
      <c r="E53" s="7">
        <v>116.99</v>
      </c>
      <c r="F53" s="7">
        <v>630.6</v>
      </c>
      <c r="G53" s="2" t="s">
        <v>1021</v>
      </c>
      <c r="H53" s="2" t="s">
        <v>1022</v>
      </c>
    </row>
    <row r="54" spans="1:8" s="1" customFormat="1" ht="13.8" x14ac:dyDescent="0.25">
      <c r="A54" s="6" t="s">
        <v>848</v>
      </c>
      <c r="B54" s="7">
        <v>-4.8499999999999996</v>
      </c>
      <c r="C54" s="7">
        <v>-2.2779847472997652</v>
      </c>
      <c r="D54" s="3">
        <v>9.2000000000000005E-55</v>
      </c>
      <c r="E54" s="7">
        <v>32.68</v>
      </c>
      <c r="F54" s="7">
        <v>158.58000000000001</v>
      </c>
      <c r="G54" s="2" t="s">
        <v>849</v>
      </c>
      <c r="H54" s="2" t="s">
        <v>850</v>
      </c>
    </row>
    <row r="55" spans="1:8" s="1" customFormat="1" ht="13.8" x14ac:dyDescent="0.25">
      <c r="A55" s="6" t="s">
        <v>652</v>
      </c>
      <c r="B55" s="7">
        <v>-4.84</v>
      </c>
      <c r="C55" s="7">
        <v>-2.2750070474998698</v>
      </c>
      <c r="D55" s="3">
        <v>5.21E-14</v>
      </c>
      <c r="E55" s="7">
        <v>8.1</v>
      </c>
      <c r="F55" s="7">
        <v>39.21</v>
      </c>
      <c r="G55" s="2" t="s">
        <v>653</v>
      </c>
      <c r="H55" s="2" t="s">
        <v>654</v>
      </c>
    </row>
    <row r="56" spans="1:8" s="1" customFormat="1" ht="13.8" x14ac:dyDescent="0.25">
      <c r="A56" s="6" t="s">
        <v>870</v>
      </c>
      <c r="B56" s="7">
        <v>-4.79</v>
      </c>
      <c r="C56" s="7">
        <v>-2.2600256559614555</v>
      </c>
      <c r="D56" s="3">
        <v>5.3999999999999996E-75</v>
      </c>
      <c r="E56" s="7">
        <v>45.9</v>
      </c>
      <c r="F56" s="7">
        <v>219.86</v>
      </c>
      <c r="G56" s="2" t="s">
        <v>36</v>
      </c>
      <c r="H56" s="2" t="s">
        <v>871</v>
      </c>
    </row>
    <row r="57" spans="1:8" s="1" customFormat="1" ht="13.8" x14ac:dyDescent="0.25">
      <c r="A57" s="6" t="s">
        <v>614</v>
      </c>
      <c r="B57" s="7">
        <v>-4.67</v>
      </c>
      <c r="C57" s="7">
        <v>-2.2234225499349374</v>
      </c>
      <c r="D57" s="3">
        <v>3.6700000000000001E-15</v>
      </c>
      <c r="E57" s="7">
        <v>9.3800000000000008</v>
      </c>
      <c r="F57" s="7">
        <v>43.75</v>
      </c>
      <c r="G57" s="2" t="s">
        <v>615</v>
      </c>
      <c r="H57" s="2" t="s">
        <v>614</v>
      </c>
    </row>
    <row r="58" spans="1:8" s="1" customFormat="1" ht="13.8" x14ac:dyDescent="0.25">
      <c r="A58" s="6" t="s">
        <v>670</v>
      </c>
      <c r="B58" s="7">
        <v>-4.66</v>
      </c>
      <c r="C58" s="7">
        <v>-2.2203299548795559</v>
      </c>
      <c r="D58" s="3">
        <v>5.7800000000000004E-14</v>
      </c>
      <c r="E58" s="7">
        <v>8.6</v>
      </c>
      <c r="F58" s="7">
        <v>40.119999999999997</v>
      </c>
      <c r="G58" s="2" t="s">
        <v>671</v>
      </c>
      <c r="H58" s="2" t="s">
        <v>672</v>
      </c>
    </row>
    <row r="59" spans="1:8" s="1" customFormat="1" ht="13.8" x14ac:dyDescent="0.25">
      <c r="A59" s="6" t="s">
        <v>841</v>
      </c>
      <c r="B59" s="7">
        <v>-4.6100000000000003</v>
      </c>
      <c r="C59" s="7">
        <v>-2.2047667506546134</v>
      </c>
      <c r="D59" s="3">
        <v>2.4E-31</v>
      </c>
      <c r="E59" s="7">
        <v>20.27</v>
      </c>
      <c r="F59" s="7">
        <v>93.34</v>
      </c>
      <c r="G59" s="2" t="s">
        <v>842</v>
      </c>
      <c r="H59" s="2" t="s">
        <v>843</v>
      </c>
    </row>
    <row r="60" spans="1:8" s="1" customFormat="1" ht="13.8" x14ac:dyDescent="0.25">
      <c r="A60" s="6" t="s">
        <v>1049</v>
      </c>
      <c r="B60" s="7">
        <v>-4.5199999999999996</v>
      </c>
      <c r="C60" s="7">
        <v>-2.176322772640463</v>
      </c>
      <c r="D60" s="3">
        <v>1.28E-169</v>
      </c>
      <c r="E60" s="7">
        <v>122.63</v>
      </c>
      <c r="F60" s="7">
        <v>554.29</v>
      </c>
      <c r="G60" s="2" t="s">
        <v>1050</v>
      </c>
      <c r="H60" s="2" t="s">
        <v>1051</v>
      </c>
    </row>
    <row r="61" spans="1:8" s="1" customFormat="1" ht="13.8" x14ac:dyDescent="0.25">
      <c r="A61" s="6" t="s">
        <v>921</v>
      </c>
      <c r="B61" s="7">
        <v>-4.51</v>
      </c>
      <c r="C61" s="7">
        <v>-2.1731274334806563</v>
      </c>
      <c r="D61" s="3">
        <v>4.4499999999999997E-70</v>
      </c>
      <c r="E61" s="7">
        <v>87.68</v>
      </c>
      <c r="F61" s="7">
        <v>395.69</v>
      </c>
      <c r="G61" s="2" t="s">
        <v>922</v>
      </c>
      <c r="H61" s="2" t="s">
        <v>923</v>
      </c>
    </row>
    <row r="62" spans="1:8" s="1" customFormat="1" ht="13.8" x14ac:dyDescent="0.25">
      <c r="A62" s="6" t="s">
        <v>1063</v>
      </c>
      <c r="B62" s="7">
        <v>-4.51</v>
      </c>
      <c r="C62" s="7">
        <v>-2.1731274334806563</v>
      </c>
      <c r="D62" s="3">
        <v>1.25E-4</v>
      </c>
      <c r="E62" s="7">
        <v>2.67</v>
      </c>
      <c r="F62" s="7">
        <v>12.04</v>
      </c>
      <c r="G62" s="2" t="s">
        <v>7</v>
      </c>
      <c r="H62" s="2" t="s">
        <v>1063</v>
      </c>
    </row>
    <row r="63" spans="1:8" s="1" customFormat="1" ht="13.8" x14ac:dyDescent="0.25">
      <c r="A63" s="6" t="s">
        <v>1085</v>
      </c>
      <c r="B63" s="7">
        <v>-4.42</v>
      </c>
      <c r="C63" s="7">
        <v>-2.1440463696167069</v>
      </c>
      <c r="D63" s="3">
        <v>3.1100000000000001E-120</v>
      </c>
      <c r="E63" s="7">
        <v>84.81</v>
      </c>
      <c r="F63" s="7">
        <v>375.03</v>
      </c>
      <c r="G63" s="2" t="s">
        <v>1086</v>
      </c>
      <c r="H63" s="2" t="s">
        <v>1087</v>
      </c>
    </row>
    <row r="64" spans="1:8" s="1" customFormat="1" ht="13.8" x14ac:dyDescent="0.25">
      <c r="A64" s="6" t="s">
        <v>603</v>
      </c>
      <c r="B64" s="7">
        <v>-4.41</v>
      </c>
      <c r="C64" s="7">
        <v>-2.1407786557827961</v>
      </c>
      <c r="D64" s="3">
        <v>4.3000000000000002E-49</v>
      </c>
      <c r="E64" s="7">
        <v>34.57</v>
      </c>
      <c r="F64" s="7">
        <v>152.33000000000001</v>
      </c>
      <c r="G64" s="2" t="s">
        <v>604</v>
      </c>
      <c r="H64" s="2" t="s">
        <v>605</v>
      </c>
    </row>
    <row r="65" spans="1:8" s="1" customFormat="1" ht="13.8" x14ac:dyDescent="0.25">
      <c r="A65" s="6" t="s">
        <v>420</v>
      </c>
      <c r="B65" s="7">
        <v>-4.4000000000000004</v>
      </c>
      <c r="C65" s="7">
        <v>-2.1375035237499351</v>
      </c>
      <c r="D65" s="3">
        <v>1.4199999999999999E-113</v>
      </c>
      <c r="E65" s="7">
        <v>80.760000000000005</v>
      </c>
      <c r="F65" s="7">
        <v>355.43</v>
      </c>
      <c r="G65" s="2" t="s">
        <v>421</v>
      </c>
      <c r="H65" s="2" t="s">
        <v>422</v>
      </c>
    </row>
    <row r="66" spans="1:8" s="1" customFormat="1" ht="13.8" x14ac:dyDescent="0.25">
      <c r="A66" s="6" t="s">
        <v>659</v>
      </c>
      <c r="B66" s="7">
        <v>-4.3899999999999997</v>
      </c>
      <c r="C66" s="7">
        <v>-2.1342209397606333</v>
      </c>
      <c r="D66" s="3">
        <v>1.43E-12</v>
      </c>
      <c r="E66" s="7">
        <v>8.5399999999999991</v>
      </c>
      <c r="F66" s="7">
        <v>37.53</v>
      </c>
      <c r="G66" s="2" t="s">
        <v>318</v>
      </c>
      <c r="H66" s="2" t="s">
        <v>660</v>
      </c>
    </row>
    <row r="67" spans="1:8" s="1" customFormat="1" ht="13.8" x14ac:dyDescent="0.25">
      <c r="A67" s="6" t="s">
        <v>804</v>
      </c>
      <c r="B67" s="7">
        <v>-4.3899999999999997</v>
      </c>
      <c r="C67" s="7">
        <v>-2.1342209397606333</v>
      </c>
      <c r="D67" s="3">
        <v>1.27E-111</v>
      </c>
      <c r="E67" s="7">
        <v>79.72</v>
      </c>
      <c r="F67" s="7">
        <v>349.97</v>
      </c>
      <c r="G67" s="2" t="s">
        <v>805</v>
      </c>
      <c r="H67" s="2" t="s">
        <v>806</v>
      </c>
    </row>
    <row r="68" spans="1:8" s="1" customFormat="1" ht="13.8" x14ac:dyDescent="0.25">
      <c r="A68" s="6" t="s">
        <v>656</v>
      </c>
      <c r="B68" s="7">
        <v>-4.3600000000000003</v>
      </c>
      <c r="C68" s="7">
        <v>-2.1243281350022021</v>
      </c>
      <c r="D68" s="3">
        <v>6.9700000000000004E-39</v>
      </c>
      <c r="E68" s="7">
        <v>27.77</v>
      </c>
      <c r="F68" s="7">
        <v>121.13</v>
      </c>
      <c r="G68" s="2" t="s">
        <v>657</v>
      </c>
      <c r="H68" s="2" t="s">
        <v>658</v>
      </c>
    </row>
    <row r="69" spans="1:8" s="1" customFormat="1" ht="13.8" x14ac:dyDescent="0.25">
      <c r="A69" s="6" t="s">
        <v>777</v>
      </c>
      <c r="B69" s="7">
        <v>-4.33</v>
      </c>
      <c r="C69" s="7">
        <v>-2.1143670249520006</v>
      </c>
      <c r="D69" s="3">
        <v>8.2500000000000001E-46</v>
      </c>
      <c r="E69" s="7">
        <v>33.24</v>
      </c>
      <c r="F69" s="7">
        <v>143.91999999999999</v>
      </c>
      <c r="G69" s="2" t="s">
        <v>778</v>
      </c>
      <c r="H69" s="2" t="s">
        <v>779</v>
      </c>
    </row>
    <row r="70" spans="1:8" s="1" customFormat="1" ht="13.8" x14ac:dyDescent="0.25">
      <c r="A70" s="6" t="s">
        <v>823</v>
      </c>
      <c r="B70" s="7">
        <v>-4.33</v>
      </c>
      <c r="C70" s="7">
        <v>-2.1143670249520006</v>
      </c>
      <c r="D70" s="3">
        <v>9.8400000000000001E-32</v>
      </c>
      <c r="E70" s="7">
        <v>90.8</v>
      </c>
      <c r="F70" s="7">
        <v>392.94</v>
      </c>
      <c r="G70" s="2" t="s">
        <v>824</v>
      </c>
      <c r="H70" s="2" t="s">
        <v>825</v>
      </c>
    </row>
    <row r="71" spans="1:8" s="1" customFormat="1" ht="13.8" x14ac:dyDescent="0.25">
      <c r="A71" s="6" t="s">
        <v>478</v>
      </c>
      <c r="B71" s="7">
        <v>-4.2699999999999996</v>
      </c>
      <c r="C71" s="7">
        <v>-2.0942360698457656</v>
      </c>
      <c r="D71" s="3">
        <v>6.81E-42</v>
      </c>
      <c r="E71" s="7">
        <v>101.37</v>
      </c>
      <c r="F71" s="7">
        <v>432.5</v>
      </c>
      <c r="G71" s="2" t="s">
        <v>36</v>
      </c>
      <c r="H71" s="2" t="s">
        <v>479</v>
      </c>
    </row>
    <row r="72" spans="1:8" s="1" customFormat="1" ht="13.8" x14ac:dyDescent="0.25">
      <c r="A72" s="6" t="s">
        <v>943</v>
      </c>
      <c r="B72" s="7">
        <v>-4.2300000000000004</v>
      </c>
      <c r="C72" s="7">
        <v>-2.080657663345225</v>
      </c>
      <c r="D72" s="3">
        <v>5.2499999999999998E-13</v>
      </c>
      <c r="E72" s="7">
        <v>9.49</v>
      </c>
      <c r="F72" s="7">
        <v>40.1</v>
      </c>
      <c r="G72" s="2" t="s">
        <v>944</v>
      </c>
      <c r="H72" s="2" t="s">
        <v>945</v>
      </c>
    </row>
    <row r="73" spans="1:8" s="1" customFormat="1" ht="13.8" x14ac:dyDescent="0.25">
      <c r="A73" s="6" t="s">
        <v>1066</v>
      </c>
      <c r="B73" s="7">
        <v>-4.22</v>
      </c>
      <c r="C73" s="7">
        <v>-2.0772429989324603</v>
      </c>
      <c r="D73" s="3">
        <v>2.2299999999999998E-6</v>
      </c>
      <c r="E73" s="7">
        <v>4.3600000000000003</v>
      </c>
      <c r="F73" s="7">
        <v>18.43</v>
      </c>
      <c r="G73" s="2" t="s">
        <v>36</v>
      </c>
      <c r="H73" s="2" t="s">
        <v>1066</v>
      </c>
    </row>
    <row r="74" spans="1:8" s="1" customFormat="1" ht="13.8" x14ac:dyDescent="0.25">
      <c r="A74" s="6" t="s">
        <v>688</v>
      </c>
      <c r="B74" s="7">
        <v>-4.21</v>
      </c>
      <c r="C74" s="7">
        <v>-2.0738202332916713</v>
      </c>
      <c r="D74" s="3">
        <v>4.6199999999999998E-42</v>
      </c>
      <c r="E74" s="7">
        <v>32.08</v>
      </c>
      <c r="F74" s="7">
        <v>135.02000000000001</v>
      </c>
      <c r="G74" s="2" t="s">
        <v>689</v>
      </c>
      <c r="H74" s="2" t="s">
        <v>690</v>
      </c>
    </row>
    <row r="75" spans="1:8" s="1" customFormat="1" ht="13.8" x14ac:dyDescent="0.25">
      <c r="A75" s="6" t="s">
        <v>708</v>
      </c>
      <c r="B75" s="7">
        <v>-4.18</v>
      </c>
      <c r="C75" s="7">
        <v>-2.0635029423061582</v>
      </c>
      <c r="D75" s="3">
        <v>1.46E-22</v>
      </c>
      <c r="E75" s="7">
        <v>17.2</v>
      </c>
      <c r="F75" s="7">
        <v>71.88</v>
      </c>
      <c r="G75" s="2" t="s">
        <v>709</v>
      </c>
      <c r="H75" s="2" t="s">
        <v>708</v>
      </c>
    </row>
    <row r="76" spans="1:8" s="1" customFormat="1" ht="13.8" x14ac:dyDescent="0.25">
      <c r="A76" s="6" t="s">
        <v>574</v>
      </c>
      <c r="B76" s="7">
        <v>-4.13</v>
      </c>
      <c r="C76" s="7">
        <v>-2.0461417816447205</v>
      </c>
      <c r="D76" s="3">
        <v>3.8599999999999998E-21</v>
      </c>
      <c r="E76" s="7">
        <v>25.49</v>
      </c>
      <c r="F76" s="7">
        <v>105.27</v>
      </c>
      <c r="G76" s="2" t="s">
        <v>575</v>
      </c>
      <c r="H76" s="2" t="s">
        <v>576</v>
      </c>
    </row>
    <row r="77" spans="1:8" s="1" customFormat="1" ht="13.8" x14ac:dyDescent="0.25">
      <c r="A77" s="6" t="s">
        <v>894</v>
      </c>
      <c r="B77" s="7">
        <v>-4.07</v>
      </c>
      <c r="C77" s="7">
        <v>-2.0250287944915226</v>
      </c>
      <c r="D77" s="3">
        <v>0</v>
      </c>
      <c r="E77" s="7">
        <v>633.35</v>
      </c>
      <c r="F77" s="7">
        <v>2579.33</v>
      </c>
      <c r="G77" s="2" t="s">
        <v>895</v>
      </c>
      <c r="H77" s="2" t="s">
        <v>894</v>
      </c>
    </row>
    <row r="78" spans="1:8" s="1" customFormat="1" ht="13.8" x14ac:dyDescent="0.25">
      <c r="A78" s="6" t="s">
        <v>969</v>
      </c>
      <c r="B78" s="7">
        <v>-4.0599999999999996</v>
      </c>
      <c r="C78" s="7">
        <v>-2.0214797274104517</v>
      </c>
      <c r="D78" s="3">
        <v>9.6300000000000003E-44</v>
      </c>
      <c r="E78" s="7">
        <v>447.94</v>
      </c>
      <c r="F78" s="7">
        <v>1819.92</v>
      </c>
      <c r="G78" s="2" t="s">
        <v>875</v>
      </c>
      <c r="H78" s="2" t="s">
        <v>970</v>
      </c>
    </row>
    <row r="79" spans="1:8" s="1" customFormat="1" ht="13.8" x14ac:dyDescent="0.25">
      <c r="A79" s="6" t="s">
        <v>503</v>
      </c>
      <c r="B79" s="7">
        <v>-4.0599999999999996</v>
      </c>
      <c r="C79" s="7">
        <v>-2.0214797274104517</v>
      </c>
      <c r="D79" s="3">
        <v>3.8700000000000001E-37</v>
      </c>
      <c r="E79" s="7">
        <v>30.25</v>
      </c>
      <c r="F79" s="7">
        <v>122.68</v>
      </c>
      <c r="G79" s="2" t="s">
        <v>504</v>
      </c>
      <c r="H79" s="2" t="s">
        <v>505</v>
      </c>
    </row>
    <row r="80" spans="1:8" s="1" customFormat="1" ht="13.8" x14ac:dyDescent="0.25">
      <c r="A80" s="6" t="s">
        <v>705</v>
      </c>
      <c r="B80" s="7">
        <v>-4.04</v>
      </c>
      <c r="C80" s="7">
        <v>-2.0143552929770703</v>
      </c>
      <c r="D80" s="3">
        <v>2.6E-87</v>
      </c>
      <c r="E80" s="7">
        <v>72.42</v>
      </c>
      <c r="F80" s="7">
        <v>292.5</v>
      </c>
      <c r="G80" s="2" t="s">
        <v>706</v>
      </c>
      <c r="H80" s="2" t="s">
        <v>707</v>
      </c>
    </row>
    <row r="81" spans="1:8" s="1" customFormat="1" ht="13.8" x14ac:dyDescent="0.25">
      <c r="A81" s="6" t="s">
        <v>882</v>
      </c>
      <c r="B81" s="7">
        <v>-4.0199999999999996</v>
      </c>
      <c r="C81" s="7">
        <v>-2.0071955014042038</v>
      </c>
      <c r="D81" s="3">
        <v>2.15E-27</v>
      </c>
      <c r="E81" s="7">
        <v>22.53</v>
      </c>
      <c r="F81" s="7">
        <v>90.6</v>
      </c>
      <c r="G81" s="2" t="s">
        <v>883</v>
      </c>
      <c r="H81" s="2" t="s">
        <v>884</v>
      </c>
    </row>
    <row r="82" spans="1:8" s="1" customFormat="1" ht="13.8" x14ac:dyDescent="0.25">
      <c r="A82" s="6" t="s">
        <v>745</v>
      </c>
      <c r="B82" s="7">
        <v>-4.01</v>
      </c>
      <c r="C82" s="7">
        <v>-2.0036022366801958</v>
      </c>
      <c r="D82" s="3">
        <v>7.9799999999999998E-17</v>
      </c>
      <c r="E82" s="7">
        <v>13.72</v>
      </c>
      <c r="F82" s="7">
        <v>54.99</v>
      </c>
      <c r="G82" s="2" t="s">
        <v>85</v>
      </c>
      <c r="H82" s="2" t="s">
        <v>746</v>
      </c>
    </row>
    <row r="83" spans="1:8" s="1" customFormat="1" ht="13.8" x14ac:dyDescent="0.25">
      <c r="A83" s="6" t="s">
        <v>864</v>
      </c>
      <c r="B83" s="7">
        <v>-3.95</v>
      </c>
      <c r="C83" s="7">
        <v>-1.9818526532897409</v>
      </c>
      <c r="D83" s="3">
        <v>1.9000000000000001E-147</v>
      </c>
      <c r="E83" s="7">
        <v>127.75</v>
      </c>
      <c r="F83" s="7">
        <v>504.95</v>
      </c>
      <c r="G83" s="2" t="s">
        <v>865</v>
      </c>
      <c r="H83" s="2" t="s">
        <v>866</v>
      </c>
    </row>
    <row r="84" spans="1:8" s="1" customFormat="1" ht="13.8" x14ac:dyDescent="0.25">
      <c r="A84" s="6" t="s">
        <v>949</v>
      </c>
      <c r="B84" s="7">
        <v>-3.95</v>
      </c>
      <c r="C84" s="7">
        <v>-1.9818526532897409</v>
      </c>
      <c r="D84" s="3">
        <v>9.8499999999999995E-126</v>
      </c>
      <c r="E84" s="7">
        <v>357.23</v>
      </c>
      <c r="F84" s="7">
        <v>1410.27</v>
      </c>
      <c r="G84" s="2" t="s">
        <v>950</v>
      </c>
      <c r="H84" s="2" t="s">
        <v>951</v>
      </c>
    </row>
    <row r="85" spans="1:8" s="1" customFormat="1" ht="13.8" x14ac:dyDescent="0.25">
      <c r="A85" s="6" t="s">
        <v>1053</v>
      </c>
      <c r="B85" s="7">
        <v>-3.95</v>
      </c>
      <c r="C85" s="7">
        <v>-1.9818526532897409</v>
      </c>
      <c r="D85" s="3">
        <v>4.6300000000000003E-188</v>
      </c>
      <c r="E85" s="7">
        <v>163.59</v>
      </c>
      <c r="F85" s="7">
        <v>645.59</v>
      </c>
      <c r="G85" s="2" t="s">
        <v>1054</v>
      </c>
      <c r="H85" s="2" t="s">
        <v>1055</v>
      </c>
    </row>
    <row r="86" spans="1:8" s="1" customFormat="1" ht="13.8" x14ac:dyDescent="0.25">
      <c r="A86" s="6" t="s">
        <v>1073</v>
      </c>
      <c r="B86" s="7">
        <v>-3.94</v>
      </c>
      <c r="C86" s="7">
        <v>-1.9781956296816519</v>
      </c>
      <c r="D86" s="3">
        <v>9.3900000000000006E-5</v>
      </c>
      <c r="E86" s="7">
        <v>3.53</v>
      </c>
      <c r="F86" s="7">
        <v>13.89</v>
      </c>
      <c r="G86" s="2" t="s">
        <v>263</v>
      </c>
      <c r="H86" s="2" t="s">
        <v>1074</v>
      </c>
    </row>
    <row r="87" spans="1:8" s="1" customFormat="1" ht="13.8" x14ac:dyDescent="0.25">
      <c r="A87" s="6" t="s">
        <v>1052</v>
      </c>
      <c r="B87" s="7">
        <v>-3.92</v>
      </c>
      <c r="C87" s="7">
        <v>-1.9708536543404835</v>
      </c>
      <c r="D87" s="3">
        <v>4.5399999999999999E-38</v>
      </c>
      <c r="E87" s="7">
        <v>59.98</v>
      </c>
      <c r="F87" s="7">
        <v>235.12</v>
      </c>
      <c r="G87" s="2" t="s">
        <v>7</v>
      </c>
      <c r="H87" s="2" t="s">
        <v>1052</v>
      </c>
    </row>
    <row r="88" spans="1:8" s="1" customFormat="1" ht="13.8" x14ac:dyDescent="0.25">
      <c r="A88" s="6" t="s">
        <v>326</v>
      </c>
      <c r="B88" s="7">
        <v>-3.82</v>
      </c>
      <c r="C88" s="7">
        <v>-1.9335726382610239</v>
      </c>
      <c r="D88" s="3">
        <v>4.6699999999999998E-36</v>
      </c>
      <c r="E88" s="7">
        <v>32.86</v>
      </c>
      <c r="F88" s="7">
        <v>125.53</v>
      </c>
      <c r="G88" s="2" t="s">
        <v>327</v>
      </c>
      <c r="H88" s="2" t="s">
        <v>328</v>
      </c>
    </row>
    <row r="89" spans="1:8" s="1" customFormat="1" ht="13.8" x14ac:dyDescent="0.25">
      <c r="A89" s="6" t="s">
        <v>963</v>
      </c>
      <c r="B89" s="7">
        <v>-3.79</v>
      </c>
      <c r="C89" s="7">
        <v>-1.9221978483963671</v>
      </c>
      <c r="D89" s="3">
        <v>2.16E-55</v>
      </c>
      <c r="E89" s="7">
        <v>63.41</v>
      </c>
      <c r="F89" s="7">
        <v>240.34</v>
      </c>
      <c r="G89" s="2" t="s">
        <v>964</v>
      </c>
      <c r="H89" s="2" t="s">
        <v>965</v>
      </c>
    </row>
    <row r="90" spans="1:8" s="1" customFormat="1" ht="13.8" x14ac:dyDescent="0.25">
      <c r="A90" s="6" t="s">
        <v>918</v>
      </c>
      <c r="B90" s="7">
        <v>-3.76</v>
      </c>
      <c r="C90" s="7">
        <v>-1.9107326619029126</v>
      </c>
      <c r="D90" s="3">
        <v>3.4700000000000002E-17</v>
      </c>
      <c r="E90" s="7">
        <v>40.44</v>
      </c>
      <c r="F90" s="7">
        <v>151.91999999999999</v>
      </c>
      <c r="G90" s="2" t="s">
        <v>919</v>
      </c>
      <c r="H90" s="2" t="s">
        <v>920</v>
      </c>
    </row>
    <row r="91" spans="1:8" s="1" customFormat="1" ht="13.8" x14ac:dyDescent="0.25">
      <c r="A91" s="6" t="s">
        <v>628</v>
      </c>
      <c r="B91" s="7">
        <v>-3.73</v>
      </c>
      <c r="C91" s="7">
        <v>-1.899175630480513</v>
      </c>
      <c r="D91" s="3">
        <v>7.7699999999999997E-39</v>
      </c>
      <c r="E91" s="7">
        <v>37.200000000000003</v>
      </c>
      <c r="F91" s="7">
        <v>138.57</v>
      </c>
      <c r="G91" s="2" t="s">
        <v>7</v>
      </c>
      <c r="H91" s="2" t="s">
        <v>628</v>
      </c>
    </row>
    <row r="92" spans="1:8" s="1" customFormat="1" ht="13.8" x14ac:dyDescent="0.25">
      <c r="A92" s="6" t="s">
        <v>891</v>
      </c>
      <c r="B92" s="7">
        <v>-3.66</v>
      </c>
      <c r="C92" s="7">
        <v>-1.8718436485093179</v>
      </c>
      <c r="D92" s="3">
        <v>2.14E-17</v>
      </c>
      <c r="E92" s="7">
        <v>16.920000000000002</v>
      </c>
      <c r="F92" s="7">
        <v>61.89</v>
      </c>
      <c r="G92" s="2" t="s">
        <v>892</v>
      </c>
      <c r="H92" s="2" t="s">
        <v>893</v>
      </c>
    </row>
    <row r="93" spans="1:8" s="1" customFormat="1" ht="13.8" x14ac:dyDescent="0.25">
      <c r="A93" s="6" t="s">
        <v>1056</v>
      </c>
      <c r="B93" s="7">
        <v>-3.58</v>
      </c>
      <c r="C93" s="7">
        <v>-1.8399595874895318</v>
      </c>
      <c r="D93" s="3">
        <v>7.4600000000000003E-4</v>
      </c>
      <c r="E93" s="7">
        <v>3.27</v>
      </c>
      <c r="F93" s="7">
        <v>11.71</v>
      </c>
      <c r="G93" s="2" t="s">
        <v>36</v>
      </c>
      <c r="H93" s="2" t="s">
        <v>1056</v>
      </c>
    </row>
    <row r="94" spans="1:8" s="1" customFormat="1" ht="13.8" x14ac:dyDescent="0.25">
      <c r="A94" s="6" t="s">
        <v>1101</v>
      </c>
      <c r="B94" s="7">
        <v>-3.57</v>
      </c>
      <c r="C94" s="7">
        <v>-1.835924074254375</v>
      </c>
      <c r="D94" s="3">
        <v>1.29E-8</v>
      </c>
      <c r="E94" s="7">
        <v>8.39</v>
      </c>
      <c r="F94" s="7">
        <v>29.98</v>
      </c>
      <c r="G94" s="2" t="s">
        <v>263</v>
      </c>
      <c r="H94" s="2" t="s">
        <v>1102</v>
      </c>
    </row>
    <row r="95" spans="1:8" s="1" customFormat="1" ht="13.8" x14ac:dyDescent="0.25">
      <c r="A95" s="6" t="s">
        <v>606</v>
      </c>
      <c r="B95" s="7">
        <v>-3.57</v>
      </c>
      <c r="C95" s="7">
        <v>-1.835924074254375</v>
      </c>
      <c r="D95" s="3">
        <v>2.2E-28</v>
      </c>
      <c r="E95" s="7">
        <v>29.44</v>
      </c>
      <c r="F95" s="7">
        <v>105</v>
      </c>
      <c r="G95" s="2" t="s">
        <v>607</v>
      </c>
      <c r="H95" s="2" t="s">
        <v>608</v>
      </c>
    </row>
    <row r="96" spans="1:8" s="1" customFormat="1" ht="13.8" x14ac:dyDescent="0.25">
      <c r="A96" s="6" t="s">
        <v>1090</v>
      </c>
      <c r="B96" s="7">
        <v>-3.54</v>
      </c>
      <c r="C96" s="7">
        <v>-1.8237493603082728</v>
      </c>
      <c r="D96" s="3">
        <v>6.0700000000000001E-4</v>
      </c>
      <c r="E96" s="7">
        <v>3.45</v>
      </c>
      <c r="F96" s="7">
        <v>12.21</v>
      </c>
      <c r="G96" s="2" t="s">
        <v>263</v>
      </c>
      <c r="H96" s="2" t="s">
        <v>1091</v>
      </c>
    </row>
    <row r="97" spans="1:8" s="1" customFormat="1" ht="13.8" x14ac:dyDescent="0.25">
      <c r="A97" s="6" t="s">
        <v>524</v>
      </c>
      <c r="B97" s="7">
        <v>-3.48</v>
      </c>
      <c r="C97" s="7">
        <v>-1.7990873060740036</v>
      </c>
      <c r="D97" s="3">
        <v>1.29E-40</v>
      </c>
      <c r="E97" s="7">
        <v>44.68</v>
      </c>
      <c r="F97" s="7">
        <v>155.31</v>
      </c>
      <c r="G97" s="2" t="s">
        <v>320</v>
      </c>
      <c r="H97" s="2" t="s">
        <v>525</v>
      </c>
    </row>
    <row r="98" spans="1:8" s="1" customFormat="1" ht="13.8" x14ac:dyDescent="0.25">
      <c r="A98" s="6" t="s">
        <v>645</v>
      </c>
      <c r="B98" s="7">
        <v>-3.47</v>
      </c>
      <c r="C98" s="7">
        <v>-1.7949356628035364</v>
      </c>
      <c r="D98" s="3">
        <v>5.9399999999999998E-19</v>
      </c>
      <c r="E98" s="7">
        <v>68.94</v>
      </c>
      <c r="F98" s="7">
        <v>239.45</v>
      </c>
      <c r="G98" s="2" t="s">
        <v>646</v>
      </c>
      <c r="H98" s="2" t="s">
        <v>647</v>
      </c>
    </row>
    <row r="99" spans="1:8" s="1" customFormat="1" ht="13.8" x14ac:dyDescent="0.25">
      <c r="A99" s="6" t="s">
        <v>1081</v>
      </c>
      <c r="B99" s="7">
        <v>-3.47</v>
      </c>
      <c r="C99" s="7">
        <v>-1.7949356628035364</v>
      </c>
      <c r="D99" s="3">
        <v>8.7799999999999997E-11</v>
      </c>
      <c r="E99" s="7">
        <v>11.34</v>
      </c>
      <c r="F99" s="7">
        <v>39.36</v>
      </c>
      <c r="G99" s="2" t="s">
        <v>263</v>
      </c>
      <c r="H99" s="2" t="s">
        <v>1082</v>
      </c>
    </row>
    <row r="100" spans="1:8" s="1" customFormat="1" ht="13.8" x14ac:dyDescent="0.25">
      <c r="A100" s="6" t="s">
        <v>991</v>
      </c>
      <c r="B100" s="7">
        <v>-3.47</v>
      </c>
      <c r="C100" s="7">
        <v>-1.7949356628035364</v>
      </c>
      <c r="D100" s="3">
        <v>4.01E-142</v>
      </c>
      <c r="E100" s="7">
        <v>248.27</v>
      </c>
      <c r="F100" s="7">
        <v>861.16</v>
      </c>
      <c r="G100" s="2" t="s">
        <v>992</v>
      </c>
      <c r="H100" s="2" t="s">
        <v>993</v>
      </c>
    </row>
    <row r="101" spans="1:8" s="1" customFormat="1" ht="13.8" x14ac:dyDescent="0.25">
      <c r="A101" s="6" t="s">
        <v>559</v>
      </c>
      <c r="B101" s="7">
        <v>-3.45</v>
      </c>
      <c r="C101" s="7">
        <v>-1.7865963618908067</v>
      </c>
      <c r="D101" s="3">
        <v>3.8300000000000002E-139</v>
      </c>
      <c r="E101" s="7">
        <v>219.7</v>
      </c>
      <c r="F101" s="7">
        <v>758.3</v>
      </c>
      <c r="G101" s="2" t="s">
        <v>560</v>
      </c>
      <c r="H101" s="2" t="s">
        <v>561</v>
      </c>
    </row>
    <row r="102" spans="1:8" s="1" customFormat="1" ht="13.8" x14ac:dyDescent="0.25">
      <c r="A102" s="6" t="s">
        <v>855</v>
      </c>
      <c r="B102" s="7">
        <v>-3.44</v>
      </c>
      <c r="C102" s="7">
        <v>-1.7824085649273733</v>
      </c>
      <c r="D102" s="3">
        <v>7.1899999999999996E-93</v>
      </c>
      <c r="E102" s="7">
        <v>127.87</v>
      </c>
      <c r="F102" s="7">
        <v>440.02</v>
      </c>
      <c r="G102" s="2" t="s">
        <v>856</v>
      </c>
      <c r="H102" s="2" t="s">
        <v>857</v>
      </c>
    </row>
    <row r="103" spans="1:8" s="1" customFormat="1" ht="13.8" x14ac:dyDescent="0.25">
      <c r="A103" s="6" t="s">
        <v>725</v>
      </c>
      <c r="B103" s="7">
        <v>-3.41</v>
      </c>
      <c r="C103" s="7">
        <v>-1.7697717392494476</v>
      </c>
      <c r="D103" s="3">
        <v>9.2900000000000003E-17</v>
      </c>
      <c r="E103" s="7">
        <v>18.78</v>
      </c>
      <c r="F103" s="7">
        <v>63.98</v>
      </c>
      <c r="G103" s="2" t="s">
        <v>726</v>
      </c>
      <c r="H103" s="2" t="s">
        <v>727</v>
      </c>
    </row>
    <row r="104" spans="1:8" s="1" customFormat="1" ht="13.8" x14ac:dyDescent="0.25">
      <c r="A104" s="6" t="s">
        <v>759</v>
      </c>
      <c r="B104" s="7">
        <v>-3.4</v>
      </c>
      <c r="C104" s="7">
        <v>-1.7655347463629771</v>
      </c>
      <c r="D104" s="3">
        <v>3.9199999999999997E-9</v>
      </c>
      <c r="E104" s="7">
        <v>9.91</v>
      </c>
      <c r="F104" s="7">
        <v>33.65</v>
      </c>
      <c r="G104" s="2" t="s">
        <v>760</v>
      </c>
      <c r="H104" s="2" t="s">
        <v>761</v>
      </c>
    </row>
    <row r="105" spans="1:8" s="1" customFormat="1" ht="13.8" x14ac:dyDescent="0.25">
      <c r="A105" s="6" t="s">
        <v>352</v>
      </c>
      <c r="B105" s="7">
        <v>-3.39</v>
      </c>
      <c r="C105" s="7">
        <v>-1.7612852733616193</v>
      </c>
      <c r="D105" s="3">
        <v>6.8099999999999997E-53</v>
      </c>
      <c r="E105" s="7">
        <v>61.36</v>
      </c>
      <c r="F105" s="7">
        <v>208.23</v>
      </c>
      <c r="G105" s="2" t="s">
        <v>353</v>
      </c>
      <c r="H105" s="2" t="s">
        <v>354</v>
      </c>
    </row>
    <row r="106" spans="1:8" s="1" customFormat="1" ht="13.8" x14ac:dyDescent="0.25">
      <c r="A106" s="6" t="s">
        <v>1083</v>
      </c>
      <c r="B106" s="7">
        <v>-3.38</v>
      </c>
      <c r="C106" s="7">
        <v>-1.7570232465074596</v>
      </c>
      <c r="D106" s="3">
        <v>4.4099999999999999E-4</v>
      </c>
      <c r="E106" s="7">
        <v>3.94</v>
      </c>
      <c r="F106" s="7">
        <v>13.35</v>
      </c>
      <c r="G106" s="2" t="s">
        <v>263</v>
      </c>
      <c r="H106" s="2" t="s">
        <v>1084</v>
      </c>
    </row>
    <row r="107" spans="1:8" s="1" customFormat="1" ht="13.8" x14ac:dyDescent="0.25">
      <c r="A107" s="6" t="s">
        <v>588</v>
      </c>
      <c r="B107" s="7">
        <v>-3.38</v>
      </c>
      <c r="C107" s="7">
        <v>-1.7570232465074596</v>
      </c>
      <c r="D107" s="3">
        <v>3.4599999999999998E-50</v>
      </c>
      <c r="E107" s="7">
        <v>58.79</v>
      </c>
      <c r="F107" s="7">
        <v>198.5</v>
      </c>
      <c r="G107" s="2" t="s">
        <v>589</v>
      </c>
      <c r="H107" s="2" t="s">
        <v>590</v>
      </c>
    </row>
    <row r="108" spans="1:8" s="1" customFormat="1" ht="13.8" x14ac:dyDescent="0.25">
      <c r="A108" s="6" t="s">
        <v>591</v>
      </c>
      <c r="B108" s="7">
        <v>-3.36</v>
      </c>
      <c r="C108" s="7">
        <v>-1.7484612330040357</v>
      </c>
      <c r="D108" s="3">
        <v>2.97E-32</v>
      </c>
      <c r="E108" s="7">
        <v>37.880000000000003</v>
      </c>
      <c r="F108" s="7">
        <v>127.29</v>
      </c>
      <c r="G108" s="2" t="s">
        <v>592</v>
      </c>
      <c r="H108" s="2" t="s">
        <v>593</v>
      </c>
    </row>
    <row r="109" spans="1:8" s="1" customFormat="1" ht="13.8" x14ac:dyDescent="0.25">
      <c r="A109" s="6" t="s">
        <v>521</v>
      </c>
      <c r="B109" s="7">
        <v>-3.35</v>
      </c>
      <c r="C109" s="7">
        <v>-1.7441610955704101</v>
      </c>
      <c r="D109" s="3">
        <v>1.1E-20</v>
      </c>
      <c r="E109" s="7">
        <v>24.14</v>
      </c>
      <c r="F109" s="7">
        <v>80.94</v>
      </c>
      <c r="G109" s="2" t="s">
        <v>522</v>
      </c>
      <c r="H109" s="2" t="s">
        <v>523</v>
      </c>
    </row>
    <row r="110" spans="1:8" s="1" customFormat="1" ht="13.8" x14ac:dyDescent="0.25">
      <c r="A110" s="6" t="s">
        <v>381</v>
      </c>
      <c r="B110" s="7">
        <v>-3.35</v>
      </c>
      <c r="C110" s="7">
        <v>-1.7441610955704101</v>
      </c>
      <c r="D110" s="3">
        <v>5.2800000000000003E-8</v>
      </c>
      <c r="E110" s="7">
        <v>8.82</v>
      </c>
      <c r="F110" s="7">
        <v>29.54</v>
      </c>
      <c r="G110" s="2" t="s">
        <v>382</v>
      </c>
      <c r="H110" s="2" t="s">
        <v>383</v>
      </c>
    </row>
    <row r="111" spans="1:8" s="1" customFormat="1" ht="13.8" x14ac:dyDescent="0.25">
      <c r="A111" s="6" t="s">
        <v>801</v>
      </c>
      <c r="B111" s="7">
        <v>-3.33</v>
      </c>
      <c r="C111" s="7">
        <v>-1.7355221772965377</v>
      </c>
      <c r="D111" s="3">
        <v>1.2E-61</v>
      </c>
      <c r="E111" s="7">
        <v>74.319999999999993</v>
      </c>
      <c r="F111" s="7">
        <v>247.78</v>
      </c>
      <c r="G111" s="2" t="s">
        <v>802</v>
      </c>
      <c r="H111" s="2" t="s">
        <v>803</v>
      </c>
    </row>
    <row r="112" spans="1:8" s="1" customFormat="1" ht="13.8" x14ac:dyDescent="0.25">
      <c r="A112" s="6" t="s">
        <v>207</v>
      </c>
      <c r="B112" s="7">
        <v>-3.33</v>
      </c>
      <c r="C112" s="7">
        <v>-1.7355221772965377</v>
      </c>
      <c r="D112" s="3">
        <v>8.8899999999999996E-6</v>
      </c>
      <c r="E112" s="7">
        <v>6.19</v>
      </c>
      <c r="F112" s="7">
        <v>20.6</v>
      </c>
      <c r="G112" s="2" t="s">
        <v>208</v>
      </c>
      <c r="H112" s="2" t="s">
        <v>209</v>
      </c>
    </row>
    <row r="113" spans="1:8" s="1" customFormat="1" ht="13.8" x14ac:dyDescent="0.25">
      <c r="A113" s="6" t="s">
        <v>885</v>
      </c>
      <c r="B113" s="7">
        <v>-3.31</v>
      </c>
      <c r="C113" s="7">
        <v>-1.7268312170324931</v>
      </c>
      <c r="D113" s="3">
        <v>2.51E-194</v>
      </c>
      <c r="E113" s="7">
        <v>239.73</v>
      </c>
      <c r="F113" s="7">
        <v>793.36</v>
      </c>
      <c r="G113" s="2" t="s">
        <v>886</v>
      </c>
      <c r="H113" s="2" t="s">
        <v>887</v>
      </c>
    </row>
    <row r="114" spans="1:8" s="1" customFormat="1" ht="13.8" x14ac:dyDescent="0.25">
      <c r="A114" s="6" t="s">
        <v>501</v>
      </c>
      <c r="B114" s="7">
        <v>-3.3</v>
      </c>
      <c r="C114" s="7">
        <v>-1.7224660244710912</v>
      </c>
      <c r="D114" s="3">
        <v>2.12E-181</v>
      </c>
      <c r="E114" s="7">
        <v>271.05</v>
      </c>
      <c r="F114" s="7">
        <v>895.51</v>
      </c>
      <c r="G114" s="2" t="s">
        <v>7</v>
      </c>
      <c r="H114" s="2" t="s">
        <v>501</v>
      </c>
    </row>
    <row r="115" spans="1:8" s="1" customFormat="1" ht="13.8" x14ac:dyDescent="0.25">
      <c r="A115" s="6" t="s">
        <v>747</v>
      </c>
      <c r="B115" s="7">
        <v>-3.3</v>
      </c>
      <c r="C115" s="7">
        <v>-1.7224660244710912</v>
      </c>
      <c r="D115" s="3">
        <v>1.33E-81</v>
      </c>
      <c r="E115" s="7">
        <v>100.56</v>
      </c>
      <c r="F115" s="7">
        <v>332.18</v>
      </c>
      <c r="G115" s="2" t="s">
        <v>399</v>
      </c>
      <c r="H115" s="2" t="s">
        <v>748</v>
      </c>
    </row>
    <row r="116" spans="1:8" s="1" customFormat="1" ht="13.8" x14ac:dyDescent="0.25">
      <c r="A116" s="6" t="s">
        <v>609</v>
      </c>
      <c r="B116" s="7">
        <v>-3.3</v>
      </c>
      <c r="C116" s="7">
        <v>-1.7224660244710912</v>
      </c>
      <c r="D116" s="3">
        <v>2.23E-71</v>
      </c>
      <c r="E116" s="7">
        <v>88.02</v>
      </c>
      <c r="F116" s="7">
        <v>290.52</v>
      </c>
      <c r="G116" s="2" t="s">
        <v>610</v>
      </c>
      <c r="H116" s="2" t="s">
        <v>611</v>
      </c>
    </row>
    <row r="117" spans="1:8" s="1" customFormat="1" ht="13.8" x14ac:dyDescent="0.25">
      <c r="A117" s="6" t="s">
        <v>699</v>
      </c>
      <c r="B117" s="7">
        <v>-3.29</v>
      </c>
      <c r="C117" s="7">
        <v>-1.7180875839605168</v>
      </c>
      <c r="D117" s="3">
        <v>4.3E-31</v>
      </c>
      <c r="E117" s="7">
        <v>45.88</v>
      </c>
      <c r="F117" s="7">
        <v>150.99</v>
      </c>
      <c r="G117" s="2" t="s">
        <v>700</v>
      </c>
      <c r="H117" s="2" t="s">
        <v>701</v>
      </c>
    </row>
    <row r="118" spans="1:8" s="1" customFormat="1" ht="13.8" x14ac:dyDescent="0.25">
      <c r="A118" s="6" t="s">
        <v>649</v>
      </c>
      <c r="B118" s="7">
        <v>-3.28</v>
      </c>
      <c r="C118" s="7">
        <v>-1.713695814843359</v>
      </c>
      <c r="D118" s="3">
        <v>2.53E-162</v>
      </c>
      <c r="E118" s="7">
        <v>203.48</v>
      </c>
      <c r="F118" s="7">
        <v>668.06</v>
      </c>
      <c r="G118" s="2" t="s">
        <v>650</v>
      </c>
      <c r="H118" s="2" t="s">
        <v>651</v>
      </c>
    </row>
    <row r="119" spans="1:8" s="1" customFormat="1" ht="13.8" x14ac:dyDescent="0.25">
      <c r="A119" s="6" t="s">
        <v>625</v>
      </c>
      <c r="B119" s="7">
        <v>-3.27</v>
      </c>
      <c r="C119" s="7">
        <v>-1.7092906357233579</v>
      </c>
      <c r="D119" s="3">
        <v>7.6699999999999994E-21</v>
      </c>
      <c r="E119" s="7">
        <v>29.73</v>
      </c>
      <c r="F119" s="7">
        <v>97.33</v>
      </c>
      <c r="G119" s="2" t="s">
        <v>626</v>
      </c>
      <c r="H119" s="2" t="s">
        <v>627</v>
      </c>
    </row>
    <row r="120" spans="1:8" s="1" customFormat="1" ht="13.8" x14ac:dyDescent="0.25">
      <c r="A120" s="6" t="s">
        <v>934</v>
      </c>
      <c r="B120" s="7">
        <v>-3.26</v>
      </c>
      <c r="C120" s="7">
        <v>-1.7048719644563528</v>
      </c>
      <c r="D120" s="3">
        <v>2.66E-180</v>
      </c>
      <c r="E120" s="7">
        <v>254.05</v>
      </c>
      <c r="F120" s="7">
        <v>828.05</v>
      </c>
      <c r="G120" s="2" t="s">
        <v>935</v>
      </c>
      <c r="H120" s="2" t="s">
        <v>936</v>
      </c>
    </row>
    <row r="121" spans="1:8" s="1" customFormat="1" ht="13.8" x14ac:dyDescent="0.25">
      <c r="A121" s="6" t="s">
        <v>570</v>
      </c>
      <c r="B121" s="7">
        <v>-3.26</v>
      </c>
      <c r="C121" s="7">
        <v>-1.7048719644563528</v>
      </c>
      <c r="D121" s="3">
        <v>8.0700000000000007E-34</v>
      </c>
      <c r="E121" s="7">
        <v>42.49</v>
      </c>
      <c r="F121" s="7">
        <v>138.32</v>
      </c>
      <c r="G121" s="2" t="s">
        <v>571</v>
      </c>
      <c r="H121" s="2" t="s">
        <v>572</v>
      </c>
    </row>
    <row r="122" spans="1:8" s="1" customFormat="1" ht="13.8" x14ac:dyDescent="0.25">
      <c r="A122" s="6" t="s">
        <v>433</v>
      </c>
      <c r="B122" s="7">
        <v>-3.25</v>
      </c>
      <c r="C122" s="7">
        <v>-1.7004397181410922</v>
      </c>
      <c r="D122" s="3">
        <v>1.9000000000000001E-8</v>
      </c>
      <c r="E122" s="7">
        <v>9.9600000000000009</v>
      </c>
      <c r="F122" s="7">
        <v>32.380000000000003</v>
      </c>
      <c r="G122" s="2" t="s">
        <v>380</v>
      </c>
      <c r="H122" s="2" t="s">
        <v>434</v>
      </c>
    </row>
    <row r="123" spans="1:8" s="1" customFormat="1" ht="13.8" x14ac:dyDescent="0.25">
      <c r="A123" s="6" t="s">
        <v>514</v>
      </c>
      <c r="B123" s="7">
        <v>-3.23</v>
      </c>
      <c r="C123" s="7">
        <v>-1.6915341649192002</v>
      </c>
      <c r="D123" s="3">
        <v>2.0900000000000002E-214</v>
      </c>
      <c r="E123" s="7">
        <v>932.04</v>
      </c>
      <c r="F123" s="7">
        <v>3007.12</v>
      </c>
      <c r="G123" s="2" t="s">
        <v>311</v>
      </c>
      <c r="H123" s="2" t="s">
        <v>515</v>
      </c>
    </row>
    <row r="124" spans="1:8" s="1" customFormat="1" ht="13.8" x14ac:dyDescent="0.25">
      <c r="A124" s="6" t="s">
        <v>600</v>
      </c>
      <c r="B124" s="7">
        <v>-3.22</v>
      </c>
      <c r="C124" s="7">
        <v>-1.6870606883398924</v>
      </c>
      <c r="D124" s="3">
        <v>8.98E-9</v>
      </c>
      <c r="E124" s="7">
        <v>10.61</v>
      </c>
      <c r="F124" s="7">
        <v>34.159999999999997</v>
      </c>
      <c r="G124" s="2" t="s">
        <v>601</v>
      </c>
      <c r="H124" s="2" t="s">
        <v>602</v>
      </c>
    </row>
    <row r="125" spans="1:8" s="1" customFormat="1" ht="13.8" x14ac:dyDescent="0.25">
      <c r="A125" s="6" t="s">
        <v>1306</v>
      </c>
      <c r="B125" s="7">
        <v>-3.2</v>
      </c>
      <c r="C125" s="7">
        <v>-1.6780719051126378</v>
      </c>
      <c r="D125" s="3">
        <v>4.8599999999999999E-32</v>
      </c>
      <c r="E125" s="7">
        <v>41.68</v>
      </c>
      <c r="F125" s="7">
        <v>133.41999999999999</v>
      </c>
      <c r="G125" s="2" t="s">
        <v>7</v>
      </c>
      <c r="H125" s="2" t="s">
        <v>1307</v>
      </c>
    </row>
    <row r="126" spans="1:8" s="1" customFormat="1" ht="13.8" x14ac:dyDescent="0.25">
      <c r="A126" s="6" t="s">
        <v>1077</v>
      </c>
      <c r="B126" s="7">
        <v>-3.19</v>
      </c>
      <c r="C126" s="7">
        <v>-1.6735564239901448</v>
      </c>
      <c r="D126" s="3">
        <v>1.06E-13</v>
      </c>
      <c r="E126" s="7">
        <v>17.43</v>
      </c>
      <c r="F126" s="7">
        <v>55.64</v>
      </c>
      <c r="G126" s="2" t="s">
        <v>263</v>
      </c>
      <c r="H126" s="2" t="s">
        <v>1078</v>
      </c>
    </row>
    <row r="127" spans="1:8" s="1" customFormat="1" ht="13.8" x14ac:dyDescent="0.25">
      <c r="A127" s="6" t="s">
        <v>722</v>
      </c>
      <c r="B127" s="7">
        <v>-3.17</v>
      </c>
      <c r="C127" s="7">
        <v>-1.6644828403646825</v>
      </c>
      <c r="D127" s="3">
        <v>1.7200000000000001E-16</v>
      </c>
      <c r="E127" s="7">
        <v>21.54</v>
      </c>
      <c r="F127" s="7">
        <v>68.23</v>
      </c>
      <c r="G127" s="2" t="s">
        <v>723</v>
      </c>
      <c r="H127" s="2" t="s">
        <v>724</v>
      </c>
    </row>
    <row r="128" spans="1:8" s="1" customFormat="1" ht="13.8" x14ac:dyDescent="0.25">
      <c r="A128" s="6" t="s">
        <v>851</v>
      </c>
      <c r="B128" s="7">
        <v>-3.1</v>
      </c>
      <c r="C128" s="7">
        <v>-1.632268215499513</v>
      </c>
      <c r="D128" s="3">
        <v>3.0299999999999999E-58</v>
      </c>
      <c r="E128" s="7">
        <v>81.91</v>
      </c>
      <c r="F128" s="7">
        <v>254.05</v>
      </c>
      <c r="G128" s="2" t="s">
        <v>36</v>
      </c>
      <c r="H128" s="2" t="s">
        <v>851</v>
      </c>
    </row>
    <row r="129" spans="1:8" s="1" customFormat="1" ht="13.8" x14ac:dyDescent="0.25">
      <c r="A129" s="6" t="s">
        <v>396</v>
      </c>
      <c r="B129" s="7">
        <v>-3.1</v>
      </c>
      <c r="C129" s="7">
        <v>-1.632268215499513</v>
      </c>
      <c r="D129" s="3">
        <v>1.75E-22</v>
      </c>
      <c r="E129" s="7">
        <v>31.15</v>
      </c>
      <c r="F129" s="7">
        <v>96.48</v>
      </c>
      <c r="G129" s="2" t="s">
        <v>397</v>
      </c>
      <c r="H129" s="2" t="s">
        <v>398</v>
      </c>
    </row>
    <row r="130" spans="1:8" s="1" customFormat="1" ht="13.8" x14ac:dyDescent="0.25">
      <c r="A130" s="6" t="s">
        <v>265</v>
      </c>
      <c r="B130" s="7">
        <v>-3.09</v>
      </c>
      <c r="C130" s="7">
        <v>-1.6276068381296498</v>
      </c>
      <c r="D130" s="3">
        <v>1.15E-20</v>
      </c>
      <c r="E130" s="7">
        <v>28.64</v>
      </c>
      <c r="F130" s="7">
        <v>88.59</v>
      </c>
      <c r="G130" s="2" t="s">
        <v>266</v>
      </c>
      <c r="H130" s="2" t="s">
        <v>267</v>
      </c>
    </row>
    <row r="131" spans="1:8" s="1" customFormat="1" ht="13.8" x14ac:dyDescent="0.25">
      <c r="A131" s="6" t="s">
        <v>1079</v>
      </c>
      <c r="B131" s="7">
        <v>-3.08</v>
      </c>
      <c r="C131" s="7">
        <v>-1.6229303509201767</v>
      </c>
      <c r="D131" s="3">
        <v>1.33E-6</v>
      </c>
      <c r="E131" s="7">
        <v>8.5</v>
      </c>
      <c r="F131" s="7">
        <v>26.2</v>
      </c>
      <c r="G131" s="2" t="s">
        <v>255</v>
      </c>
      <c r="H131" s="2" t="s">
        <v>1080</v>
      </c>
    </row>
    <row r="132" spans="1:8" s="1" customFormat="1" ht="13.8" x14ac:dyDescent="0.25">
      <c r="A132" s="6" t="s">
        <v>322</v>
      </c>
      <c r="B132" s="7">
        <v>-3.06</v>
      </c>
      <c r="C132" s="7">
        <v>-1.6135316529179271</v>
      </c>
      <c r="D132" s="3">
        <v>3.9600000000000002E-66</v>
      </c>
      <c r="E132" s="7">
        <v>96.02</v>
      </c>
      <c r="F132" s="7">
        <v>293.72000000000003</v>
      </c>
      <c r="G132" s="2" t="s">
        <v>248</v>
      </c>
      <c r="H132" s="2" t="s">
        <v>323</v>
      </c>
    </row>
    <row r="133" spans="1:8" s="1" customFormat="1" ht="13.8" x14ac:dyDescent="0.25">
      <c r="A133" s="6" t="s">
        <v>348</v>
      </c>
      <c r="B133" s="7">
        <v>-3.06</v>
      </c>
      <c r="C133" s="7">
        <v>-1.6135316529179271</v>
      </c>
      <c r="D133" s="3">
        <v>3.8499999999999999E-74</v>
      </c>
      <c r="E133" s="7">
        <v>269.19</v>
      </c>
      <c r="F133" s="7">
        <v>822.59</v>
      </c>
      <c r="G133" s="2" t="s">
        <v>349</v>
      </c>
      <c r="H133" s="2" t="s">
        <v>350</v>
      </c>
    </row>
    <row r="134" spans="1:8" s="1" customFormat="1" ht="13.8" x14ac:dyDescent="0.25">
      <c r="A134" s="6" t="s">
        <v>852</v>
      </c>
      <c r="B134" s="7">
        <v>-3.04</v>
      </c>
      <c r="C134" s="7">
        <v>-1.6040713236688608</v>
      </c>
      <c r="D134" s="3">
        <v>1.9399999999999999E-9</v>
      </c>
      <c r="E134" s="7">
        <v>16.29</v>
      </c>
      <c r="F134" s="7">
        <v>49.49</v>
      </c>
      <c r="G134" s="2" t="s">
        <v>853</v>
      </c>
      <c r="H134" s="2" t="s">
        <v>854</v>
      </c>
    </row>
    <row r="135" spans="1:8" s="1" customFormat="1" ht="13.8" x14ac:dyDescent="0.25">
      <c r="A135" s="6" t="s">
        <v>304</v>
      </c>
      <c r="B135" s="7">
        <v>-3.02</v>
      </c>
      <c r="C135" s="7">
        <v>-1.5945485495503544</v>
      </c>
      <c r="D135" s="3">
        <v>3.2099999999999998E-79</v>
      </c>
      <c r="E135" s="7">
        <v>118.45</v>
      </c>
      <c r="F135" s="7">
        <v>357.84</v>
      </c>
      <c r="G135" s="2" t="s">
        <v>305</v>
      </c>
      <c r="H135" s="2" t="s">
        <v>306</v>
      </c>
    </row>
    <row r="136" spans="1:8" s="1" customFormat="1" ht="13.8" x14ac:dyDescent="0.25">
      <c r="A136" s="6" t="s">
        <v>1095</v>
      </c>
      <c r="B136" s="7">
        <v>-3.02</v>
      </c>
      <c r="C136" s="7">
        <v>-1.5945485495503544</v>
      </c>
      <c r="D136" s="3">
        <v>9.3199999999999993E-19</v>
      </c>
      <c r="E136" s="7">
        <v>27.39</v>
      </c>
      <c r="F136" s="7">
        <v>82.65</v>
      </c>
      <c r="G136" s="2" t="s">
        <v>1096</v>
      </c>
      <c r="H136" s="2" t="s">
        <v>1097</v>
      </c>
    </row>
    <row r="137" spans="1:8" s="1" customFormat="1" ht="13.8" x14ac:dyDescent="0.25">
      <c r="A137" s="6" t="s">
        <v>636</v>
      </c>
      <c r="B137" s="7">
        <v>-3.01</v>
      </c>
      <c r="C137" s="7">
        <v>-1.5897634869849773</v>
      </c>
      <c r="D137" s="3">
        <v>3.6600000000000002E-7</v>
      </c>
      <c r="E137" s="7">
        <v>9.7899999999999991</v>
      </c>
      <c r="F137" s="7">
        <v>29.5</v>
      </c>
      <c r="G137" s="2" t="s">
        <v>7</v>
      </c>
      <c r="H137" s="2" t="s">
        <v>636</v>
      </c>
    </row>
    <row r="138" spans="1:8" s="1" customFormat="1" ht="13.8" x14ac:dyDescent="0.25">
      <c r="A138" s="6" t="s">
        <v>361</v>
      </c>
      <c r="B138" s="7">
        <v>-3</v>
      </c>
      <c r="C138" s="7">
        <v>-1.5849625007211563</v>
      </c>
      <c r="D138" s="3">
        <v>2.5300000000000002E-16</v>
      </c>
      <c r="E138" s="7">
        <v>24.08</v>
      </c>
      <c r="F138" s="7">
        <v>72.16</v>
      </c>
      <c r="G138" s="2" t="s">
        <v>362</v>
      </c>
      <c r="H138" s="2" t="s">
        <v>363</v>
      </c>
    </row>
    <row r="139" spans="1:8" s="1" customFormat="1" ht="13.8" x14ac:dyDescent="0.25">
      <c r="A139" s="6" t="s">
        <v>511</v>
      </c>
      <c r="B139" s="7">
        <v>-2.99</v>
      </c>
      <c r="C139" s="7">
        <v>-1.5801454844233804</v>
      </c>
      <c r="D139" s="3">
        <v>1.05E-18</v>
      </c>
      <c r="E139" s="7">
        <v>27.83</v>
      </c>
      <c r="F139" s="7">
        <v>83.28</v>
      </c>
      <c r="G139" s="2" t="s">
        <v>512</v>
      </c>
      <c r="H139" s="2" t="s">
        <v>513</v>
      </c>
    </row>
    <row r="140" spans="1:8" s="1" customFormat="1" ht="13.8" x14ac:dyDescent="0.25">
      <c r="A140" s="6" t="s">
        <v>661</v>
      </c>
      <c r="B140" s="7">
        <v>-2.98</v>
      </c>
      <c r="C140" s="7">
        <v>-1.5753123306874368</v>
      </c>
      <c r="D140" s="3">
        <v>3.71E-214</v>
      </c>
      <c r="E140" s="7">
        <v>333.17</v>
      </c>
      <c r="F140" s="7">
        <v>991.31</v>
      </c>
      <c r="G140" s="2" t="s">
        <v>662</v>
      </c>
      <c r="H140" s="2" t="s">
        <v>663</v>
      </c>
    </row>
    <row r="141" spans="1:8" s="1" customFormat="1" ht="13.8" x14ac:dyDescent="0.25">
      <c r="A141" s="6" t="s">
        <v>1012</v>
      </c>
      <c r="B141" s="7">
        <v>-2.96</v>
      </c>
      <c r="C141" s="7">
        <v>-1.5655971758542251</v>
      </c>
      <c r="D141" s="3">
        <v>2.3500000000000001E-81</v>
      </c>
      <c r="E141" s="7">
        <v>685.64</v>
      </c>
      <c r="F141" s="7">
        <v>2032.72</v>
      </c>
      <c r="G141" s="2" t="s">
        <v>401</v>
      </c>
      <c r="H141" s="2" t="s">
        <v>1013</v>
      </c>
    </row>
    <row r="142" spans="1:8" s="1" customFormat="1" ht="13.8" x14ac:dyDescent="0.25">
      <c r="A142" s="6" t="s">
        <v>861</v>
      </c>
      <c r="B142" s="7">
        <v>-2.96</v>
      </c>
      <c r="C142" s="7">
        <v>-1.5655971758542251</v>
      </c>
      <c r="D142" s="3">
        <v>1.7100000000000001E-85</v>
      </c>
      <c r="E142" s="7">
        <v>284.91000000000003</v>
      </c>
      <c r="F142" s="7">
        <v>843.64</v>
      </c>
      <c r="G142" s="2" t="s">
        <v>862</v>
      </c>
      <c r="H142" s="2" t="s">
        <v>863</v>
      </c>
    </row>
    <row r="143" spans="1:8" s="1" customFormat="1" ht="13.8" x14ac:dyDescent="0.25">
      <c r="A143" s="6" t="s">
        <v>665</v>
      </c>
      <c r="B143" s="7">
        <v>-2.96</v>
      </c>
      <c r="C143" s="7">
        <v>-1.5655971758542251</v>
      </c>
      <c r="D143" s="3">
        <v>2.84E-40</v>
      </c>
      <c r="E143" s="7">
        <v>62.7</v>
      </c>
      <c r="F143" s="7">
        <v>185.39</v>
      </c>
      <c r="G143" s="2" t="s">
        <v>7</v>
      </c>
      <c r="H143" s="2" t="s">
        <v>665</v>
      </c>
    </row>
    <row r="144" spans="1:8" s="1" customFormat="1" ht="13.8" x14ac:dyDescent="0.25">
      <c r="A144" s="6" t="s">
        <v>694</v>
      </c>
      <c r="B144" s="7">
        <v>-2.93</v>
      </c>
      <c r="C144" s="7">
        <v>-1.5509006646475234</v>
      </c>
      <c r="D144" s="3">
        <v>9.770000000000001E-16</v>
      </c>
      <c r="E144" s="7">
        <v>24.43</v>
      </c>
      <c r="F144" s="7">
        <v>71.540000000000006</v>
      </c>
      <c r="G144" s="2" t="s">
        <v>695</v>
      </c>
      <c r="H144" s="2" t="s">
        <v>696</v>
      </c>
    </row>
    <row r="145" spans="1:8" s="1" customFormat="1" ht="13.8" x14ac:dyDescent="0.25">
      <c r="A145" s="6" t="s">
        <v>676</v>
      </c>
      <c r="B145" s="7">
        <v>-2.92</v>
      </c>
      <c r="C145" s="7">
        <v>-1.5459683691052926</v>
      </c>
      <c r="D145" s="3">
        <v>1.49E-18</v>
      </c>
      <c r="E145" s="7">
        <v>29.2</v>
      </c>
      <c r="F145" s="7">
        <v>85.23</v>
      </c>
      <c r="G145" s="2" t="s">
        <v>677</v>
      </c>
      <c r="H145" s="2" t="s">
        <v>678</v>
      </c>
    </row>
    <row r="146" spans="1:8" s="1" customFormat="1" ht="13.8" x14ac:dyDescent="0.25">
      <c r="A146" s="6" t="s">
        <v>702</v>
      </c>
      <c r="B146" s="7">
        <v>-2.91</v>
      </c>
      <c r="C146" s="7">
        <v>-1.5410191531335593</v>
      </c>
      <c r="D146" s="3">
        <v>9.6600000000000002E-34</v>
      </c>
      <c r="E146" s="7">
        <v>54.15</v>
      </c>
      <c r="F146" s="7">
        <v>157.78</v>
      </c>
      <c r="G146" s="2" t="s">
        <v>703</v>
      </c>
      <c r="H146" s="2" t="s">
        <v>704</v>
      </c>
    </row>
    <row r="147" spans="1:8" s="1" customFormat="1" ht="13.8" x14ac:dyDescent="0.25">
      <c r="A147" s="6" t="s">
        <v>371</v>
      </c>
      <c r="B147" s="7">
        <v>-2.91</v>
      </c>
      <c r="C147" s="7">
        <v>-1.5410191531335593</v>
      </c>
      <c r="D147" s="3">
        <v>1.22E-189</v>
      </c>
      <c r="E147" s="7">
        <v>309.45999999999998</v>
      </c>
      <c r="F147" s="7">
        <v>901.54</v>
      </c>
      <c r="G147" s="2" t="s">
        <v>372</v>
      </c>
      <c r="H147" s="2" t="s">
        <v>373</v>
      </c>
    </row>
    <row r="148" spans="1:8" s="1" customFormat="1" ht="13.8" x14ac:dyDescent="0.25">
      <c r="A148" s="6" t="s">
        <v>1308</v>
      </c>
      <c r="B148" s="7">
        <v>-2.9</v>
      </c>
      <c r="C148" s="7">
        <v>-1.5360529002402097</v>
      </c>
      <c r="D148" s="3">
        <v>7.9500000000000006E-24</v>
      </c>
      <c r="E148" s="7">
        <v>38.270000000000003</v>
      </c>
      <c r="F148" s="7">
        <v>111.07</v>
      </c>
      <c r="G148" s="2" t="s">
        <v>813</v>
      </c>
      <c r="H148" s="2" t="s">
        <v>1309</v>
      </c>
    </row>
    <row r="149" spans="1:8" s="1" customFormat="1" ht="13.8" x14ac:dyDescent="0.25">
      <c r="A149" s="6" t="s">
        <v>516</v>
      </c>
      <c r="B149" s="7">
        <v>-2.9</v>
      </c>
      <c r="C149" s="7">
        <v>-1.5360529002402097</v>
      </c>
      <c r="D149" s="3">
        <v>1.8700000000000001E-100</v>
      </c>
      <c r="E149" s="7">
        <v>164.85</v>
      </c>
      <c r="F149" s="7">
        <v>478.4</v>
      </c>
      <c r="G149" s="2" t="s">
        <v>517</v>
      </c>
      <c r="H149" s="2" t="s">
        <v>516</v>
      </c>
    </row>
    <row r="150" spans="1:8" s="1" customFormat="1" ht="13.8" x14ac:dyDescent="0.25">
      <c r="A150" s="6" t="s">
        <v>230</v>
      </c>
      <c r="B150" s="7">
        <v>-2.88</v>
      </c>
      <c r="C150" s="7">
        <v>-1.5260688116675876</v>
      </c>
      <c r="D150" s="3">
        <v>3.5700000000000001E-10</v>
      </c>
      <c r="E150" s="7">
        <v>16</v>
      </c>
      <c r="F150" s="7">
        <v>46.03</v>
      </c>
      <c r="G150" s="2" t="s">
        <v>36</v>
      </c>
      <c r="H150" s="2" t="s">
        <v>231</v>
      </c>
    </row>
    <row r="151" spans="1:8" s="1" customFormat="1" ht="13.8" x14ac:dyDescent="0.25">
      <c r="A151" s="6" t="s">
        <v>739</v>
      </c>
      <c r="B151" s="7">
        <v>-2.87</v>
      </c>
      <c r="C151" s="7">
        <v>-1.5210507369009634</v>
      </c>
      <c r="D151" s="3">
        <v>2.43E-55</v>
      </c>
      <c r="E151" s="7">
        <v>92.95</v>
      </c>
      <c r="F151" s="7">
        <v>266.45</v>
      </c>
      <c r="G151" s="2" t="s">
        <v>740</v>
      </c>
      <c r="H151" s="2" t="s">
        <v>741</v>
      </c>
    </row>
    <row r="152" spans="1:8" s="1" customFormat="1" ht="13.8" x14ac:dyDescent="0.25">
      <c r="A152" s="6" t="s">
        <v>260</v>
      </c>
      <c r="B152" s="7">
        <v>-2.85</v>
      </c>
      <c r="C152" s="7">
        <v>-1.5109619192773793</v>
      </c>
      <c r="D152" s="3">
        <v>8.2400000000000006E-121</v>
      </c>
      <c r="E152" s="7">
        <v>207.83</v>
      </c>
      <c r="F152" s="7">
        <v>591.32000000000005</v>
      </c>
      <c r="G152" s="2" t="s">
        <v>261</v>
      </c>
      <c r="H152" s="2" t="s">
        <v>262</v>
      </c>
    </row>
    <row r="153" spans="1:8" s="1" customFormat="1" ht="13.8" x14ac:dyDescent="0.25">
      <c r="A153" s="6" t="s">
        <v>619</v>
      </c>
      <c r="B153" s="7">
        <v>-2.83</v>
      </c>
      <c r="C153" s="7">
        <v>-1.5008020530571577</v>
      </c>
      <c r="D153" s="3">
        <v>9.5299999999999999E-58</v>
      </c>
      <c r="E153" s="7">
        <v>142.66999999999999</v>
      </c>
      <c r="F153" s="7">
        <v>404.05</v>
      </c>
      <c r="G153" s="2" t="s">
        <v>620</v>
      </c>
      <c r="H153" s="2" t="s">
        <v>621</v>
      </c>
    </row>
    <row r="154" spans="1:8" s="1" customFormat="1" ht="13.8" x14ac:dyDescent="0.25">
      <c r="A154" s="6" t="s">
        <v>799</v>
      </c>
      <c r="B154" s="7">
        <v>-2.82</v>
      </c>
      <c r="C154" s="7">
        <v>-1.4956951626240689</v>
      </c>
      <c r="D154" s="3">
        <v>2.9700000000000001E-59</v>
      </c>
      <c r="E154" s="7">
        <v>191.05</v>
      </c>
      <c r="F154" s="7">
        <v>539.64</v>
      </c>
      <c r="G154" s="2" t="s">
        <v>597</v>
      </c>
      <c r="H154" s="2" t="s">
        <v>800</v>
      </c>
    </row>
    <row r="155" spans="1:8" s="1" customFormat="1" ht="13.8" x14ac:dyDescent="0.25">
      <c r="A155" s="6" t="s">
        <v>409</v>
      </c>
      <c r="B155" s="7">
        <v>-2.82</v>
      </c>
      <c r="C155" s="7">
        <v>-1.4956951626240689</v>
      </c>
      <c r="D155" s="3">
        <v>2.04E-26</v>
      </c>
      <c r="E155" s="7">
        <v>45.59</v>
      </c>
      <c r="F155" s="7">
        <v>128.46</v>
      </c>
      <c r="G155" s="2" t="s">
        <v>410</v>
      </c>
      <c r="H155" s="2" t="s">
        <v>411</v>
      </c>
    </row>
    <row r="156" spans="1:8" s="1" customFormat="1" ht="13.8" x14ac:dyDescent="0.25">
      <c r="A156" s="6" t="s">
        <v>728</v>
      </c>
      <c r="B156" s="7">
        <v>-2.82</v>
      </c>
      <c r="C156" s="7">
        <v>-1.4956951626240689</v>
      </c>
      <c r="D156" s="3">
        <v>5.2100000000000003E-24</v>
      </c>
      <c r="E156" s="7">
        <v>41.38</v>
      </c>
      <c r="F156" s="7">
        <v>116.55</v>
      </c>
      <c r="G156" s="2" t="s">
        <v>729</v>
      </c>
      <c r="H156" s="2" t="s">
        <v>730</v>
      </c>
    </row>
    <row r="157" spans="1:8" s="1" customFormat="1" ht="13.8" x14ac:dyDescent="0.25">
      <c r="A157" s="6" t="s">
        <v>876</v>
      </c>
      <c r="B157" s="7">
        <v>-2.81</v>
      </c>
      <c r="C157" s="7">
        <v>-1.4905701304462016</v>
      </c>
      <c r="D157" s="3">
        <v>5.2799999999999997E-33</v>
      </c>
      <c r="E157" s="7">
        <v>57.6</v>
      </c>
      <c r="F157" s="7">
        <v>161.87</v>
      </c>
      <c r="G157" s="2" t="s">
        <v>635</v>
      </c>
      <c r="H157" s="2" t="s">
        <v>877</v>
      </c>
    </row>
    <row r="158" spans="1:8" s="1" customFormat="1" ht="13.8" x14ac:dyDescent="0.25">
      <c r="A158" s="6" t="s">
        <v>792</v>
      </c>
      <c r="B158" s="7">
        <v>-2.76</v>
      </c>
      <c r="C158" s="7">
        <v>-1.4646682670034441</v>
      </c>
      <c r="D158" s="3">
        <v>1.09E-29</v>
      </c>
      <c r="E158" s="7">
        <v>53.81</v>
      </c>
      <c r="F158" s="7">
        <v>148.69999999999999</v>
      </c>
      <c r="G158" s="2" t="s">
        <v>793</v>
      </c>
      <c r="H158" s="2" t="s">
        <v>794</v>
      </c>
    </row>
    <row r="159" spans="1:8" s="1" customFormat="1" ht="13.8" x14ac:dyDescent="0.25">
      <c r="A159" s="6" t="s">
        <v>465</v>
      </c>
      <c r="B159" s="7">
        <v>-2.76</v>
      </c>
      <c r="C159" s="7">
        <v>-1.4646682670034441</v>
      </c>
      <c r="D159" s="3">
        <v>3.2200000000000003E-10</v>
      </c>
      <c r="E159" s="7">
        <v>17.79</v>
      </c>
      <c r="F159" s="7">
        <v>49.04</v>
      </c>
      <c r="G159" s="2" t="s">
        <v>466</v>
      </c>
      <c r="H159" s="2" t="s">
        <v>467</v>
      </c>
    </row>
    <row r="160" spans="1:8" s="1" customFormat="1" ht="13.8" x14ac:dyDescent="0.25">
      <c r="A160" s="6" t="s">
        <v>430</v>
      </c>
      <c r="B160" s="7">
        <v>-2.75</v>
      </c>
      <c r="C160" s="7">
        <v>-1.4594316186372973</v>
      </c>
      <c r="D160" s="3">
        <v>1.3400000000000001E-118</v>
      </c>
      <c r="E160" s="7">
        <v>221.02</v>
      </c>
      <c r="F160" s="7">
        <v>608</v>
      </c>
      <c r="G160" s="2" t="s">
        <v>431</v>
      </c>
      <c r="H160" s="2" t="s">
        <v>432</v>
      </c>
    </row>
    <row r="161" spans="1:8" s="1" customFormat="1" ht="13.8" x14ac:dyDescent="0.25">
      <c r="A161" s="6" t="s">
        <v>639</v>
      </c>
      <c r="B161" s="7">
        <v>-2.74</v>
      </c>
      <c r="C161" s="7">
        <v>-1.4541758931858022</v>
      </c>
      <c r="D161" s="3">
        <v>1.2799999999999999E-21</v>
      </c>
      <c r="E161" s="7">
        <v>39.58</v>
      </c>
      <c r="F161" s="7">
        <v>108.58</v>
      </c>
      <c r="G161" s="2" t="s">
        <v>640</v>
      </c>
      <c r="H161" s="2" t="s">
        <v>641</v>
      </c>
    </row>
    <row r="162" spans="1:8" s="1" customFormat="1" ht="13.8" x14ac:dyDescent="0.25">
      <c r="A162" s="6" t="s">
        <v>1032</v>
      </c>
      <c r="B162" s="7">
        <v>-2.73</v>
      </c>
      <c r="C162" s="7">
        <v>-1.4489009511451278</v>
      </c>
      <c r="D162" s="3">
        <v>1.2700000000000001E-24</v>
      </c>
      <c r="E162" s="7">
        <v>440.82</v>
      </c>
      <c r="F162" s="7">
        <v>1204.57</v>
      </c>
      <c r="G162" s="2" t="s">
        <v>1033</v>
      </c>
      <c r="H162" s="2" t="s">
        <v>1034</v>
      </c>
    </row>
    <row r="163" spans="1:8" s="1" customFormat="1" ht="13.8" x14ac:dyDescent="0.25">
      <c r="A163" s="6" t="s">
        <v>734</v>
      </c>
      <c r="B163" s="7">
        <v>-2.73</v>
      </c>
      <c r="C163" s="7">
        <v>-1.4489009511451278</v>
      </c>
      <c r="D163" s="3">
        <v>1.74E-7</v>
      </c>
      <c r="E163" s="7">
        <v>12.93</v>
      </c>
      <c r="F163" s="7">
        <v>35.32</v>
      </c>
      <c r="G163" s="2" t="s">
        <v>735</v>
      </c>
      <c r="H163" s="2" t="s">
        <v>736</v>
      </c>
    </row>
    <row r="164" spans="1:8" s="1" customFormat="1" ht="13.8" x14ac:dyDescent="0.25">
      <c r="A164" s="6" t="s">
        <v>974</v>
      </c>
      <c r="B164" s="7">
        <v>-2.72</v>
      </c>
      <c r="C164" s="7">
        <v>-1.4436066514756147</v>
      </c>
      <c r="D164" s="3">
        <v>3.15E-102</v>
      </c>
      <c r="E164" s="7">
        <v>234.67</v>
      </c>
      <c r="F164" s="7">
        <v>639.37</v>
      </c>
      <c r="G164" s="2" t="s">
        <v>975</v>
      </c>
      <c r="H164" s="2" t="s">
        <v>976</v>
      </c>
    </row>
    <row r="165" spans="1:8" s="1" customFormat="1" ht="13.8" x14ac:dyDescent="0.25">
      <c r="A165" s="6" t="s">
        <v>638</v>
      </c>
      <c r="B165" s="7">
        <v>-2.72</v>
      </c>
      <c r="C165" s="7">
        <v>-1.4436066514756147</v>
      </c>
      <c r="D165" s="3">
        <v>1.27E-5</v>
      </c>
      <c r="E165" s="7">
        <v>9.42</v>
      </c>
      <c r="F165" s="7">
        <v>25.64</v>
      </c>
      <c r="G165" s="2" t="s">
        <v>7</v>
      </c>
      <c r="H165" s="2" t="s">
        <v>638</v>
      </c>
    </row>
    <row r="166" spans="1:8" s="1" customFormat="1" ht="13.8" x14ac:dyDescent="0.25">
      <c r="A166" s="6" t="s">
        <v>492</v>
      </c>
      <c r="B166" s="7">
        <v>-2.7</v>
      </c>
      <c r="C166" s="7">
        <v>-1.4329594072761063</v>
      </c>
      <c r="D166" s="3">
        <v>4.9199999999999997E-8</v>
      </c>
      <c r="E166" s="7">
        <v>14.37</v>
      </c>
      <c r="F166" s="7">
        <v>38.81</v>
      </c>
      <c r="G166" s="2" t="s">
        <v>493</v>
      </c>
      <c r="H166" s="2" t="s">
        <v>494</v>
      </c>
    </row>
    <row r="167" spans="1:8" s="1" customFormat="1" ht="13.8" x14ac:dyDescent="0.25">
      <c r="A167" s="6" t="s">
        <v>637</v>
      </c>
      <c r="B167" s="7">
        <v>-2.69</v>
      </c>
      <c r="C167" s="7">
        <v>-1.4276061727818994</v>
      </c>
      <c r="D167" s="3">
        <v>6.2199999999999994E-5</v>
      </c>
      <c r="E167" s="7">
        <v>8.34</v>
      </c>
      <c r="F167" s="7">
        <v>22.42</v>
      </c>
      <c r="G167" s="2" t="s">
        <v>7</v>
      </c>
      <c r="H167" s="2" t="s">
        <v>637</v>
      </c>
    </row>
    <row r="168" spans="1:8" s="1" customFormat="1" ht="13.8" x14ac:dyDescent="0.25">
      <c r="A168" s="6" t="s">
        <v>423</v>
      </c>
      <c r="B168" s="7">
        <v>-2.68</v>
      </c>
      <c r="C168" s="7">
        <v>-1.4222330006830479</v>
      </c>
      <c r="D168" s="3">
        <v>9.4000000000000006E-36</v>
      </c>
      <c r="E168" s="7">
        <v>8023.97</v>
      </c>
      <c r="F168" s="7">
        <v>21512.73</v>
      </c>
      <c r="G168" s="2" t="s">
        <v>424</v>
      </c>
      <c r="H168" s="2" t="s">
        <v>425</v>
      </c>
    </row>
    <row r="169" spans="1:8" s="1" customFormat="1" ht="13.8" x14ac:dyDescent="0.25">
      <c r="A169" s="6" t="s">
        <v>564</v>
      </c>
      <c r="B169" s="7">
        <v>-2.67</v>
      </c>
      <c r="C169" s="7">
        <v>-1.4168397419128294</v>
      </c>
      <c r="D169" s="3">
        <v>1.3999999999999999E-9</v>
      </c>
      <c r="E169" s="7">
        <v>30.83</v>
      </c>
      <c r="F169" s="7">
        <v>82.45</v>
      </c>
      <c r="G169" s="2" t="s">
        <v>565</v>
      </c>
      <c r="H169" s="2" t="s">
        <v>566</v>
      </c>
    </row>
    <row r="170" spans="1:8" s="1" customFormat="1" ht="13.8" x14ac:dyDescent="0.25">
      <c r="A170" s="6" t="s">
        <v>685</v>
      </c>
      <c r="B170" s="7">
        <v>-2.67</v>
      </c>
      <c r="C170" s="7">
        <v>-1.4168397419128294</v>
      </c>
      <c r="D170" s="3">
        <v>8.8700000000000004E-17</v>
      </c>
      <c r="E170" s="7">
        <v>32.6</v>
      </c>
      <c r="F170" s="7">
        <v>86.98</v>
      </c>
      <c r="G170" s="2" t="s">
        <v>342</v>
      </c>
      <c r="H170" s="2" t="s">
        <v>686</v>
      </c>
    </row>
    <row r="171" spans="1:8" s="1" customFormat="1" ht="13.8" x14ac:dyDescent="0.25">
      <c r="A171" s="6" t="s">
        <v>737</v>
      </c>
      <c r="B171" s="7">
        <v>-2.66</v>
      </c>
      <c r="C171" s="7">
        <v>-1.411426245726465</v>
      </c>
      <c r="D171" s="3">
        <v>3.5800000000000002E-18</v>
      </c>
      <c r="E171" s="7">
        <v>35.549999999999997</v>
      </c>
      <c r="F171" s="7">
        <v>94.69</v>
      </c>
      <c r="G171" s="2" t="s">
        <v>357</v>
      </c>
      <c r="H171" s="2" t="s">
        <v>738</v>
      </c>
    </row>
    <row r="172" spans="1:8" s="1" customFormat="1" ht="13.8" x14ac:dyDescent="0.25">
      <c r="A172" s="6" t="s">
        <v>249</v>
      </c>
      <c r="B172" s="7">
        <v>-2.65</v>
      </c>
      <c r="C172" s="7">
        <v>-1.4059923596758368</v>
      </c>
      <c r="D172" s="3">
        <v>2.9900000000000002E-102</v>
      </c>
      <c r="E172" s="7">
        <v>415.94</v>
      </c>
      <c r="F172" s="7">
        <v>1102.8699999999999</v>
      </c>
      <c r="G172" s="2" t="s">
        <v>250</v>
      </c>
      <c r="H172" s="2" t="s">
        <v>251</v>
      </c>
    </row>
    <row r="173" spans="1:8" s="1" customFormat="1" ht="13.8" x14ac:dyDescent="0.25">
      <c r="A173" s="6" t="s">
        <v>710</v>
      </c>
      <c r="B173" s="7">
        <v>-2.65</v>
      </c>
      <c r="C173" s="7">
        <v>-1.4059923596758368</v>
      </c>
      <c r="D173" s="3">
        <v>3.7200000000000002E-93</v>
      </c>
      <c r="E173" s="7">
        <v>191.83</v>
      </c>
      <c r="F173" s="7">
        <v>507.45</v>
      </c>
      <c r="G173" s="2" t="s">
        <v>353</v>
      </c>
      <c r="H173" s="2" t="s">
        <v>711</v>
      </c>
    </row>
    <row r="174" spans="1:8" s="1" customFormat="1" ht="13.8" x14ac:dyDescent="0.25">
      <c r="A174" s="6" t="s">
        <v>584</v>
      </c>
      <c r="B174" s="7">
        <v>-2.64</v>
      </c>
      <c r="C174" s="7">
        <v>-1.4005379295837288</v>
      </c>
      <c r="D174" s="3">
        <v>4.34E-7</v>
      </c>
      <c r="E174" s="7">
        <v>13.19</v>
      </c>
      <c r="F174" s="7">
        <v>34.86</v>
      </c>
      <c r="G174" s="2" t="s">
        <v>7</v>
      </c>
      <c r="H174" s="2" t="s">
        <v>584</v>
      </c>
    </row>
    <row r="175" spans="1:8" s="1" customFormat="1" ht="13.8" x14ac:dyDescent="0.25">
      <c r="A175" s="6" t="s">
        <v>508</v>
      </c>
      <c r="B175" s="7">
        <v>-2.64</v>
      </c>
      <c r="C175" s="7">
        <v>-1.4005379295837288</v>
      </c>
      <c r="D175" s="3">
        <v>2.4800000000000001E-39</v>
      </c>
      <c r="E175" s="7">
        <v>125.19</v>
      </c>
      <c r="F175" s="7">
        <v>330.19</v>
      </c>
      <c r="G175" s="2" t="s">
        <v>509</v>
      </c>
      <c r="H175" s="2" t="s">
        <v>510</v>
      </c>
    </row>
    <row r="176" spans="1:8" s="1" customFormat="1" ht="13.8" x14ac:dyDescent="0.25">
      <c r="A176" s="6" t="s">
        <v>622</v>
      </c>
      <c r="B176" s="7">
        <v>-2.62</v>
      </c>
      <c r="C176" s="7">
        <v>-1.3895668117627258</v>
      </c>
      <c r="D176" s="3">
        <v>6.5799999999999994E-8</v>
      </c>
      <c r="E176" s="7">
        <v>29.92</v>
      </c>
      <c r="F176" s="7">
        <v>78.430000000000007</v>
      </c>
      <c r="G176" s="2" t="s">
        <v>623</v>
      </c>
      <c r="H176" s="2" t="s">
        <v>624</v>
      </c>
    </row>
    <row r="177" spans="1:8" s="1" customFormat="1" ht="13.8" x14ac:dyDescent="0.25">
      <c r="A177" s="6" t="s">
        <v>910</v>
      </c>
      <c r="B177" s="7">
        <v>-2.61</v>
      </c>
      <c r="C177" s="7">
        <v>-1.3840498067951599</v>
      </c>
      <c r="D177" s="3">
        <v>2.8400000000000001E-96</v>
      </c>
      <c r="E177" s="7">
        <v>203.19</v>
      </c>
      <c r="F177" s="7">
        <v>531.1</v>
      </c>
      <c r="G177" s="2" t="s">
        <v>847</v>
      </c>
      <c r="H177" s="2" t="s">
        <v>911</v>
      </c>
    </row>
    <row r="178" spans="1:8" s="1" customFormat="1" ht="13.8" x14ac:dyDescent="0.25">
      <c r="A178" s="6" t="s">
        <v>906</v>
      </c>
      <c r="B178" s="7">
        <v>-2.61</v>
      </c>
      <c r="C178" s="7">
        <v>-1.3840498067951599</v>
      </c>
      <c r="D178" s="3">
        <v>7.5999999999999998E-205</v>
      </c>
      <c r="E178" s="7">
        <v>500.06</v>
      </c>
      <c r="F178" s="7">
        <v>1305.45</v>
      </c>
      <c r="G178" s="2" t="s">
        <v>907</v>
      </c>
      <c r="H178" s="2" t="s">
        <v>908</v>
      </c>
    </row>
    <row r="179" spans="1:8" s="1" customFormat="1" ht="13.8" x14ac:dyDescent="0.25">
      <c r="A179" s="6" t="s">
        <v>719</v>
      </c>
      <c r="B179" s="7">
        <v>-2.6</v>
      </c>
      <c r="C179" s="7">
        <v>-1.3785116232537298</v>
      </c>
      <c r="D179" s="3">
        <v>3.7999999999999997E-55</v>
      </c>
      <c r="E179" s="7">
        <v>183.18</v>
      </c>
      <c r="F179" s="7">
        <v>475.64</v>
      </c>
      <c r="G179" s="2" t="s">
        <v>720</v>
      </c>
      <c r="H179" s="2" t="s">
        <v>721</v>
      </c>
    </row>
    <row r="180" spans="1:8" s="1" customFormat="1" ht="13.8" x14ac:dyDescent="0.25">
      <c r="A180" s="6" t="s">
        <v>1310</v>
      </c>
      <c r="B180" s="7">
        <v>-2.59</v>
      </c>
      <c r="C180" s="7">
        <v>-1.3729520979118293</v>
      </c>
      <c r="D180" s="3">
        <v>2.8600000000000001E-159</v>
      </c>
      <c r="E180" s="7">
        <v>431.75</v>
      </c>
      <c r="F180" s="7">
        <v>1118.5899999999999</v>
      </c>
      <c r="G180" s="2" t="s">
        <v>1311</v>
      </c>
      <c r="H180" s="2" t="s">
        <v>1312</v>
      </c>
    </row>
    <row r="181" spans="1:8" s="1" customFormat="1" ht="13.8" x14ac:dyDescent="0.25">
      <c r="A181" s="6" t="s">
        <v>542</v>
      </c>
      <c r="B181" s="7">
        <v>-2.58</v>
      </c>
      <c r="C181" s="7">
        <v>-1.3673710656485296</v>
      </c>
      <c r="D181" s="3">
        <v>3.66E-31</v>
      </c>
      <c r="E181" s="7">
        <v>67.040000000000006</v>
      </c>
      <c r="F181" s="7">
        <v>172.92</v>
      </c>
      <c r="G181" s="2" t="s">
        <v>543</v>
      </c>
      <c r="H181" s="2" t="s">
        <v>544</v>
      </c>
    </row>
    <row r="182" spans="1:8" s="1" customFormat="1" ht="13.8" x14ac:dyDescent="0.25">
      <c r="A182" s="6" t="s">
        <v>762</v>
      </c>
      <c r="B182" s="7">
        <v>-2.58</v>
      </c>
      <c r="C182" s="7">
        <v>-1.3673710656485296</v>
      </c>
      <c r="D182" s="3">
        <v>1.8000000000000002E-30</v>
      </c>
      <c r="E182" s="7">
        <v>65.55</v>
      </c>
      <c r="F182" s="7">
        <v>169.05</v>
      </c>
      <c r="G182" s="2" t="s">
        <v>763</v>
      </c>
      <c r="H182" s="2" t="s">
        <v>764</v>
      </c>
    </row>
    <row r="183" spans="1:8" s="1" customFormat="1" ht="13.8" x14ac:dyDescent="0.25">
      <c r="A183" s="6" t="s">
        <v>1002</v>
      </c>
      <c r="B183" s="7">
        <v>-2.57</v>
      </c>
      <c r="C183" s="7">
        <v>-1.3617683594191534</v>
      </c>
      <c r="D183" s="3">
        <v>2.29E-11</v>
      </c>
      <c r="E183" s="7">
        <v>23.75</v>
      </c>
      <c r="F183" s="7">
        <v>61.02</v>
      </c>
      <c r="G183" s="2" t="s">
        <v>1003</v>
      </c>
      <c r="H183" s="2" t="s">
        <v>1004</v>
      </c>
    </row>
    <row r="184" spans="1:8" s="1" customFormat="1" ht="13.8" x14ac:dyDescent="0.25">
      <c r="A184" s="6" t="s">
        <v>456</v>
      </c>
      <c r="B184" s="7">
        <v>-2.57</v>
      </c>
      <c r="C184" s="7">
        <v>-1.3617683594191534</v>
      </c>
      <c r="D184" s="3">
        <v>2.3700000000000001E-16</v>
      </c>
      <c r="E184" s="7">
        <v>34.950000000000003</v>
      </c>
      <c r="F184" s="7">
        <v>89.73</v>
      </c>
      <c r="G184" s="2" t="s">
        <v>457</v>
      </c>
      <c r="H184" s="2" t="s">
        <v>458</v>
      </c>
    </row>
    <row r="185" spans="1:8" s="1" customFormat="1" ht="13.8" x14ac:dyDescent="0.25">
      <c r="A185" s="6" t="s">
        <v>1088</v>
      </c>
      <c r="B185" s="7">
        <v>-2.5299999999999998</v>
      </c>
      <c r="C185" s="7">
        <v>-1.3391373849195853</v>
      </c>
      <c r="D185" s="3">
        <v>1.6099999999999999E-8</v>
      </c>
      <c r="E185" s="7">
        <v>18.29</v>
      </c>
      <c r="F185" s="7">
        <v>46.31</v>
      </c>
      <c r="G185" s="2" t="s">
        <v>263</v>
      </c>
      <c r="H185" s="2" t="s">
        <v>1089</v>
      </c>
    </row>
    <row r="186" spans="1:8" s="1" customFormat="1" ht="13.8" x14ac:dyDescent="0.25">
      <c r="A186" s="6" t="s">
        <v>1313</v>
      </c>
      <c r="B186" s="7">
        <v>-2.52</v>
      </c>
      <c r="C186" s="7">
        <v>-1.3334237337251917</v>
      </c>
      <c r="D186" s="3">
        <v>9.0700000000000009E-44</v>
      </c>
      <c r="E186" s="7">
        <v>315.88</v>
      </c>
      <c r="F186" s="7">
        <v>796.69</v>
      </c>
      <c r="G186" s="2" t="s">
        <v>356</v>
      </c>
      <c r="H186" s="2" t="s">
        <v>1314</v>
      </c>
    </row>
    <row r="187" spans="1:8" s="1" customFormat="1" ht="13.8" x14ac:dyDescent="0.25">
      <c r="A187" s="6" t="s">
        <v>835</v>
      </c>
      <c r="B187" s="7">
        <v>-2.52</v>
      </c>
      <c r="C187" s="7">
        <v>-1.3334237337251917</v>
      </c>
      <c r="D187" s="3">
        <v>8.08E-10</v>
      </c>
      <c r="E187" s="7">
        <v>21.33</v>
      </c>
      <c r="F187" s="7">
        <v>53.74</v>
      </c>
      <c r="G187" s="2" t="s">
        <v>836</v>
      </c>
      <c r="H187" s="2" t="s">
        <v>837</v>
      </c>
    </row>
    <row r="188" spans="1:8" s="1" customFormat="1" ht="13.8" x14ac:dyDescent="0.25">
      <c r="A188" s="6" t="s">
        <v>499</v>
      </c>
      <c r="B188" s="7">
        <v>-2.52</v>
      </c>
      <c r="C188" s="7">
        <v>-1.3334237337251917</v>
      </c>
      <c r="D188" s="3">
        <v>2.7000000000000001E-7</v>
      </c>
      <c r="E188" s="7">
        <v>15.4</v>
      </c>
      <c r="F188" s="7">
        <v>38.79</v>
      </c>
      <c r="G188" s="2" t="s">
        <v>500</v>
      </c>
      <c r="H188" s="2" t="s">
        <v>499</v>
      </c>
    </row>
    <row r="189" spans="1:8" s="1" customFormat="1" ht="13.8" x14ac:dyDescent="0.25">
      <c r="A189" s="6" t="s">
        <v>1092</v>
      </c>
      <c r="B189" s="7">
        <v>-2.5099999999999998</v>
      </c>
      <c r="C189" s="7">
        <v>-1.3276873641760472</v>
      </c>
      <c r="D189" s="3">
        <v>3.9800000000000002E-13</v>
      </c>
      <c r="E189" s="7">
        <v>29.24</v>
      </c>
      <c r="F189" s="7">
        <v>73.540000000000006</v>
      </c>
      <c r="G189" s="2" t="s">
        <v>1093</v>
      </c>
      <c r="H189" s="2" t="s">
        <v>1094</v>
      </c>
    </row>
    <row r="190" spans="1:8" s="1" customFormat="1" ht="13.8" x14ac:dyDescent="0.25">
      <c r="A190" s="6" t="s">
        <v>450</v>
      </c>
      <c r="B190" s="7">
        <v>-2.5</v>
      </c>
      <c r="C190" s="7">
        <v>-1.3219280948873624</v>
      </c>
      <c r="D190" s="3">
        <v>0</v>
      </c>
      <c r="E190" s="7">
        <v>1368.89</v>
      </c>
      <c r="F190" s="7">
        <v>3421.1</v>
      </c>
      <c r="G190" s="2" t="s">
        <v>451</v>
      </c>
      <c r="H190" s="2" t="s">
        <v>452</v>
      </c>
    </row>
    <row r="191" spans="1:8" s="1" customFormat="1" ht="13.8" x14ac:dyDescent="0.25">
      <c r="A191" s="6" t="s">
        <v>872</v>
      </c>
      <c r="B191" s="7">
        <v>-2.5</v>
      </c>
      <c r="C191" s="7">
        <v>-1.3219280948873624</v>
      </c>
      <c r="D191" s="3">
        <v>1.52E-50</v>
      </c>
      <c r="E191" s="7">
        <v>312.58</v>
      </c>
      <c r="F191" s="7">
        <v>781.01</v>
      </c>
      <c r="G191" s="2" t="s">
        <v>873</v>
      </c>
      <c r="H191" s="2" t="s">
        <v>874</v>
      </c>
    </row>
    <row r="192" spans="1:8" s="1" customFormat="1" ht="13.8" x14ac:dyDescent="0.25">
      <c r="A192" s="6" t="s">
        <v>915</v>
      </c>
      <c r="B192" s="7">
        <v>-2.4900000000000002</v>
      </c>
      <c r="C192" s="7">
        <v>-1.3161457422933565</v>
      </c>
      <c r="D192" s="3">
        <v>1.87E-30</v>
      </c>
      <c r="E192" s="7">
        <v>302.05</v>
      </c>
      <c r="F192" s="7">
        <v>750.71</v>
      </c>
      <c r="G192" s="2" t="s">
        <v>916</v>
      </c>
      <c r="H192" s="2" t="s">
        <v>917</v>
      </c>
    </row>
    <row r="193" spans="1:8" s="1" customFormat="1" ht="13.8" x14ac:dyDescent="0.25">
      <c r="A193" s="6" t="s">
        <v>1098</v>
      </c>
      <c r="B193" s="7">
        <v>-2.48</v>
      </c>
      <c r="C193" s="7">
        <v>-1.3103401206121505</v>
      </c>
      <c r="D193" s="3">
        <v>1.68E-64</v>
      </c>
      <c r="E193" s="7">
        <v>155.34</v>
      </c>
      <c r="F193" s="7">
        <v>385.25</v>
      </c>
      <c r="G193" s="2" t="s">
        <v>1099</v>
      </c>
      <c r="H193" s="2" t="s">
        <v>1100</v>
      </c>
    </row>
    <row r="194" spans="1:8" s="1" customFormat="1" ht="13.8" x14ac:dyDescent="0.25">
      <c r="A194" s="6" t="s">
        <v>319</v>
      </c>
      <c r="B194" s="7">
        <v>-2.4500000000000002</v>
      </c>
      <c r="C194" s="7">
        <v>-1.2927817492278462</v>
      </c>
      <c r="D194" s="3">
        <v>2.8500000000000002E-15</v>
      </c>
      <c r="E194" s="7">
        <v>36.61</v>
      </c>
      <c r="F194" s="7">
        <v>89.85</v>
      </c>
      <c r="G194" s="2" t="s">
        <v>320</v>
      </c>
      <c r="H194" s="2" t="s">
        <v>321</v>
      </c>
    </row>
    <row r="195" spans="1:8" s="1" customFormat="1" ht="13.8" x14ac:dyDescent="0.25">
      <c r="A195" s="6" t="s">
        <v>298</v>
      </c>
      <c r="B195" s="7">
        <v>-2.44</v>
      </c>
      <c r="C195" s="7">
        <v>-1.2868811477881617</v>
      </c>
      <c r="D195" s="3">
        <v>1.2500000000000001E-18</v>
      </c>
      <c r="E195" s="7">
        <v>45.55</v>
      </c>
      <c r="F195" s="7">
        <v>111.28</v>
      </c>
      <c r="G195" s="2" t="s">
        <v>299</v>
      </c>
      <c r="H195" s="2" t="s">
        <v>300</v>
      </c>
    </row>
    <row r="196" spans="1:8" s="1" customFormat="1" ht="13.8" x14ac:dyDescent="0.25">
      <c r="A196" s="6" t="s">
        <v>668</v>
      </c>
      <c r="B196" s="7">
        <v>-2.44</v>
      </c>
      <c r="C196" s="7">
        <v>-1.2868811477881617</v>
      </c>
      <c r="D196" s="3">
        <v>6.8299999999999996E-16</v>
      </c>
      <c r="E196" s="7">
        <v>38.65</v>
      </c>
      <c r="F196" s="7">
        <v>94.42</v>
      </c>
      <c r="G196" s="2" t="s">
        <v>210</v>
      </c>
      <c r="H196" s="2" t="s">
        <v>669</v>
      </c>
    </row>
    <row r="197" spans="1:8" s="1" customFormat="1" ht="13.8" x14ac:dyDescent="0.25">
      <c r="A197" s="6" t="s">
        <v>810</v>
      </c>
      <c r="B197" s="7">
        <v>-2.4300000000000002</v>
      </c>
      <c r="C197" s="7">
        <v>-1.2809563138310562</v>
      </c>
      <c r="D197" s="3">
        <v>7.4400000000000005E-32</v>
      </c>
      <c r="E197" s="7">
        <v>80.03</v>
      </c>
      <c r="F197" s="7">
        <v>194.57</v>
      </c>
      <c r="G197" s="2" t="s">
        <v>811</v>
      </c>
      <c r="H197" s="2" t="s">
        <v>812</v>
      </c>
    </row>
    <row r="198" spans="1:8" s="1" customFormat="1" ht="13.8" x14ac:dyDescent="0.25">
      <c r="A198" s="6" t="s">
        <v>384</v>
      </c>
      <c r="B198" s="7">
        <v>-2.38</v>
      </c>
      <c r="C198" s="7">
        <v>-1.2509615735332189</v>
      </c>
      <c r="D198" s="3">
        <v>1.81E-6</v>
      </c>
      <c r="E198" s="7">
        <v>15.67</v>
      </c>
      <c r="F198" s="7">
        <v>37.28</v>
      </c>
      <c r="G198" s="2" t="s">
        <v>385</v>
      </c>
      <c r="H198" s="2" t="s">
        <v>384</v>
      </c>
    </row>
    <row r="199" spans="1:8" s="1" customFormat="1" ht="13.8" x14ac:dyDescent="0.25">
      <c r="A199" s="6" t="s">
        <v>535</v>
      </c>
      <c r="B199" s="7">
        <v>-2.38</v>
      </c>
      <c r="C199" s="7">
        <v>-1.2509615735332189</v>
      </c>
      <c r="D199" s="3">
        <v>2.1900000000000002E-12</v>
      </c>
      <c r="E199" s="7">
        <v>31.99</v>
      </c>
      <c r="F199" s="7">
        <v>76.02</v>
      </c>
      <c r="G199" s="2" t="s">
        <v>526</v>
      </c>
      <c r="H199" s="2" t="s">
        <v>536</v>
      </c>
    </row>
    <row r="200" spans="1:8" s="1" customFormat="1" ht="13.8" x14ac:dyDescent="0.25">
      <c r="A200" s="6" t="s">
        <v>814</v>
      </c>
      <c r="B200" s="7">
        <v>-2.37</v>
      </c>
      <c r="C200" s="7">
        <v>-1.2448870591235344</v>
      </c>
      <c r="D200" s="3">
        <v>4.2299999999999998E-113</v>
      </c>
      <c r="E200" s="7">
        <v>308.05</v>
      </c>
      <c r="F200" s="7">
        <v>731.03</v>
      </c>
      <c r="G200" s="2" t="s">
        <v>815</v>
      </c>
      <c r="H200" s="2" t="s">
        <v>816</v>
      </c>
    </row>
    <row r="201" spans="1:8" s="1" customFormat="1" ht="13.8" x14ac:dyDescent="0.25">
      <c r="A201" s="6" t="s">
        <v>957</v>
      </c>
      <c r="B201" s="7">
        <v>-2.35</v>
      </c>
      <c r="C201" s="7">
        <v>-1.232660756790275</v>
      </c>
      <c r="D201" s="3">
        <v>6.4700000000000001E-44</v>
      </c>
      <c r="E201" s="7">
        <v>121.42</v>
      </c>
      <c r="F201" s="7">
        <v>285.64999999999998</v>
      </c>
      <c r="G201" s="2" t="s">
        <v>664</v>
      </c>
      <c r="H201" s="2" t="s">
        <v>958</v>
      </c>
    </row>
    <row r="202" spans="1:8" s="1" customFormat="1" ht="13.8" x14ac:dyDescent="0.25">
      <c r="A202" s="6" t="s">
        <v>712</v>
      </c>
      <c r="B202" s="7">
        <v>-2.34</v>
      </c>
      <c r="C202" s="7">
        <v>-1.2265085298086797</v>
      </c>
      <c r="D202" s="3">
        <v>6.9999999999999998E-9</v>
      </c>
      <c r="E202" s="7">
        <v>23.22</v>
      </c>
      <c r="F202" s="7">
        <v>54.44</v>
      </c>
      <c r="G202" s="2" t="s">
        <v>713</v>
      </c>
      <c r="H202" s="2" t="s">
        <v>714</v>
      </c>
    </row>
    <row r="203" spans="1:8" s="1" customFormat="1" ht="13.8" x14ac:dyDescent="0.25">
      <c r="A203" s="6" t="s">
        <v>959</v>
      </c>
      <c r="B203" s="7">
        <v>-2.34</v>
      </c>
      <c r="C203" s="7">
        <v>-1.2265085298086797</v>
      </c>
      <c r="D203" s="3">
        <v>7.3999999999999995E-17</v>
      </c>
      <c r="E203" s="7">
        <v>46.15</v>
      </c>
      <c r="F203" s="7">
        <v>108.05</v>
      </c>
      <c r="G203" s="2" t="s">
        <v>960</v>
      </c>
      <c r="H203" s="2" t="s">
        <v>961</v>
      </c>
    </row>
    <row r="204" spans="1:8" s="1" customFormat="1" ht="13.8" x14ac:dyDescent="0.25">
      <c r="A204" s="6" t="s">
        <v>832</v>
      </c>
      <c r="B204" s="7">
        <v>-2.34</v>
      </c>
      <c r="C204" s="7">
        <v>-1.2265085298086797</v>
      </c>
      <c r="D204" s="3">
        <v>1.5900000000000001E-144</v>
      </c>
      <c r="E204" s="7">
        <v>458.09</v>
      </c>
      <c r="F204" s="7">
        <v>1071.6199999999999</v>
      </c>
      <c r="G204" s="2" t="s">
        <v>833</v>
      </c>
      <c r="H204" s="2" t="s">
        <v>834</v>
      </c>
    </row>
    <row r="205" spans="1:8" s="1" customFormat="1" ht="13.8" x14ac:dyDescent="0.25">
      <c r="A205" s="6" t="s">
        <v>807</v>
      </c>
      <c r="B205" s="7">
        <v>-2.34</v>
      </c>
      <c r="C205" s="7">
        <v>-1.2265085298086797</v>
      </c>
      <c r="D205" s="3">
        <v>1.05E-24</v>
      </c>
      <c r="E205" s="7">
        <v>68.69</v>
      </c>
      <c r="F205" s="7">
        <v>160.6</v>
      </c>
      <c r="G205" s="2" t="s">
        <v>808</v>
      </c>
      <c r="H205" s="2" t="s">
        <v>809</v>
      </c>
    </row>
    <row r="206" spans="1:8" s="1" customFormat="1" ht="13.8" x14ac:dyDescent="0.25">
      <c r="A206" s="6" t="s">
        <v>867</v>
      </c>
      <c r="B206" s="7">
        <v>-2.34</v>
      </c>
      <c r="C206" s="7">
        <v>-1.2265085298086797</v>
      </c>
      <c r="D206" s="3">
        <v>1.83E-4</v>
      </c>
      <c r="E206" s="7">
        <v>10.66</v>
      </c>
      <c r="F206" s="7">
        <v>24.91</v>
      </c>
      <c r="G206" s="2" t="s">
        <v>868</v>
      </c>
      <c r="H206" s="2" t="s">
        <v>869</v>
      </c>
    </row>
    <row r="207" spans="1:8" s="1" customFormat="1" ht="13.8" x14ac:dyDescent="0.25">
      <c r="A207" s="6" t="s">
        <v>924</v>
      </c>
      <c r="B207" s="7">
        <v>-2.33</v>
      </c>
      <c r="C207" s="7">
        <v>-1.2203299548795556</v>
      </c>
      <c r="D207" s="3">
        <v>7.2099999999999994E-18</v>
      </c>
      <c r="E207" s="7">
        <v>49.78</v>
      </c>
      <c r="F207" s="7">
        <v>115.9</v>
      </c>
      <c r="G207" s="2" t="s">
        <v>909</v>
      </c>
      <c r="H207" s="2" t="s">
        <v>925</v>
      </c>
    </row>
    <row r="208" spans="1:8" s="1" customFormat="1" ht="13.8" x14ac:dyDescent="0.25">
      <c r="A208" s="6" t="s">
        <v>585</v>
      </c>
      <c r="B208" s="7">
        <v>-2.3199999999999998</v>
      </c>
      <c r="C208" s="7">
        <v>-1.2141248053528473</v>
      </c>
      <c r="D208" s="3">
        <v>1E-4</v>
      </c>
      <c r="E208" s="7">
        <v>11.68</v>
      </c>
      <c r="F208" s="7">
        <v>27.09</v>
      </c>
      <c r="G208" s="2" t="s">
        <v>586</v>
      </c>
      <c r="H208" s="2" t="s">
        <v>587</v>
      </c>
    </row>
    <row r="209" spans="1:8" s="1" customFormat="1" ht="13.8" x14ac:dyDescent="0.25">
      <c r="A209" s="6" t="s">
        <v>495</v>
      </c>
      <c r="B209" s="7">
        <v>-2.3199999999999998</v>
      </c>
      <c r="C209" s="7">
        <v>-1.2141248053528473</v>
      </c>
      <c r="D209" s="3">
        <v>2.8300000000000001E-10</v>
      </c>
      <c r="E209" s="7">
        <v>28.14</v>
      </c>
      <c r="F209" s="7">
        <v>65.180000000000007</v>
      </c>
      <c r="G209" s="2" t="s">
        <v>496</v>
      </c>
      <c r="H209" s="2" t="s">
        <v>497</v>
      </c>
    </row>
    <row r="210" spans="1:8" s="1" customFormat="1" ht="13.8" x14ac:dyDescent="0.25">
      <c r="A210" s="6" t="s">
        <v>548</v>
      </c>
      <c r="B210" s="7">
        <v>-2.31</v>
      </c>
      <c r="C210" s="7">
        <v>-1.207892851641333</v>
      </c>
      <c r="D210" s="3">
        <v>1.3E-6</v>
      </c>
      <c r="E210" s="7">
        <v>17.36</v>
      </c>
      <c r="F210" s="7">
        <v>40.17</v>
      </c>
      <c r="G210" s="2" t="s">
        <v>549</v>
      </c>
      <c r="H210" s="2" t="s">
        <v>550</v>
      </c>
    </row>
    <row r="211" spans="1:8" s="1" customFormat="1" ht="13.8" x14ac:dyDescent="0.25">
      <c r="A211" s="6" t="s">
        <v>838</v>
      </c>
      <c r="B211" s="7">
        <v>-2.31</v>
      </c>
      <c r="C211" s="7">
        <v>-1.207892851641333</v>
      </c>
      <c r="D211" s="3">
        <v>1.4799999999999999E-16</v>
      </c>
      <c r="E211" s="7">
        <v>46.9</v>
      </c>
      <c r="F211" s="7">
        <v>108.45</v>
      </c>
      <c r="G211" s="2" t="s">
        <v>839</v>
      </c>
      <c r="H211" s="2" t="s">
        <v>840</v>
      </c>
    </row>
    <row r="212" spans="1:8" s="1" customFormat="1" ht="13.8" x14ac:dyDescent="0.25">
      <c r="A212" s="6" t="s">
        <v>789</v>
      </c>
      <c r="B212" s="7">
        <v>-2.31</v>
      </c>
      <c r="C212" s="7">
        <v>-1.207892851641333</v>
      </c>
      <c r="D212" s="3">
        <v>1.77E-51</v>
      </c>
      <c r="E212" s="7">
        <v>150.19</v>
      </c>
      <c r="F212" s="7">
        <v>346.89</v>
      </c>
      <c r="G212" s="2" t="s">
        <v>790</v>
      </c>
      <c r="H212" s="2" t="s">
        <v>791</v>
      </c>
    </row>
    <row r="213" spans="1:8" s="1" customFormat="1" ht="13.8" x14ac:dyDescent="0.25">
      <c r="A213" s="6" t="s">
        <v>1315</v>
      </c>
      <c r="B213" s="7">
        <v>-2.31</v>
      </c>
      <c r="C213" s="7">
        <v>-1.207892851641333</v>
      </c>
      <c r="D213" s="3">
        <v>4.9199999999999998E-26</v>
      </c>
      <c r="E213" s="7">
        <v>75.040000000000006</v>
      </c>
      <c r="F213" s="7">
        <v>173.3</v>
      </c>
      <c r="G213" s="2" t="s">
        <v>1316</v>
      </c>
      <c r="H213" s="2" t="s">
        <v>1317</v>
      </c>
    </row>
    <row r="214" spans="1:8" s="1" customFormat="1" ht="13.8" x14ac:dyDescent="0.25">
      <c r="A214" s="6" t="s">
        <v>731</v>
      </c>
      <c r="B214" s="7">
        <v>-2.2999999999999998</v>
      </c>
      <c r="C214" s="7">
        <v>-1.2016338611696504</v>
      </c>
      <c r="D214" s="3">
        <v>1.7399999999999999E-16</v>
      </c>
      <c r="E214" s="7">
        <v>47.26</v>
      </c>
      <c r="F214" s="7">
        <v>108.8</v>
      </c>
      <c r="G214" s="2" t="s">
        <v>732</v>
      </c>
      <c r="H214" s="2" t="s">
        <v>733</v>
      </c>
    </row>
    <row r="215" spans="1:8" s="1" customFormat="1" ht="13.8" x14ac:dyDescent="0.25">
      <c r="A215" s="6" t="s">
        <v>1318</v>
      </c>
      <c r="B215" s="7">
        <v>-2.29</v>
      </c>
      <c r="C215" s="7">
        <v>-1.1953475983222193</v>
      </c>
      <c r="D215" s="3">
        <v>8.8500000000000005E-8</v>
      </c>
      <c r="E215" s="7">
        <v>36.67</v>
      </c>
      <c r="F215" s="7">
        <v>84.01</v>
      </c>
      <c r="G215" s="2" t="s">
        <v>1319</v>
      </c>
      <c r="H215" s="2" t="s">
        <v>1320</v>
      </c>
    </row>
    <row r="216" spans="1:8" s="1" customFormat="1" ht="13.8" x14ac:dyDescent="0.25">
      <c r="A216" s="6" t="s">
        <v>469</v>
      </c>
      <c r="B216" s="7">
        <v>-2.2799999999999998</v>
      </c>
      <c r="C216" s="7">
        <v>-1.1890338243900169</v>
      </c>
      <c r="D216" s="3">
        <v>5.1999999999999995E-4</v>
      </c>
      <c r="E216" s="7">
        <v>10.01</v>
      </c>
      <c r="F216" s="7">
        <v>22.82</v>
      </c>
      <c r="G216" s="2" t="s">
        <v>470</v>
      </c>
      <c r="H216" s="2" t="s">
        <v>471</v>
      </c>
    </row>
    <row r="217" spans="1:8" s="1" customFormat="1" ht="13.8" x14ac:dyDescent="0.25">
      <c r="A217" s="6" t="s">
        <v>347</v>
      </c>
      <c r="B217" s="7">
        <v>-2.27</v>
      </c>
      <c r="C217" s="7">
        <v>-1.1826922975161904</v>
      </c>
      <c r="D217" s="3">
        <v>3.3399999999999999E-4</v>
      </c>
      <c r="E217" s="7">
        <v>10.78</v>
      </c>
      <c r="F217" s="7">
        <v>24.44</v>
      </c>
      <c r="G217" s="2" t="s">
        <v>7</v>
      </c>
      <c r="H217" s="2" t="s">
        <v>347</v>
      </c>
    </row>
    <row r="218" spans="1:8" s="1" customFormat="1" ht="13.8" x14ac:dyDescent="0.25">
      <c r="A218" s="6" t="s">
        <v>994</v>
      </c>
      <c r="B218" s="7">
        <v>-2.27</v>
      </c>
      <c r="C218" s="7">
        <v>-1.1826922975161904</v>
      </c>
      <c r="D218" s="3">
        <v>1.4000000000000001E-13</v>
      </c>
      <c r="E218" s="7">
        <v>127.72</v>
      </c>
      <c r="F218" s="7">
        <v>289.36</v>
      </c>
      <c r="G218" s="2" t="s">
        <v>995</v>
      </c>
      <c r="H218" s="2" t="s">
        <v>996</v>
      </c>
    </row>
    <row r="219" spans="1:8" s="1" customFormat="1" ht="13.8" x14ac:dyDescent="0.25">
      <c r="A219" s="6" t="s">
        <v>1060</v>
      </c>
      <c r="B219" s="7">
        <v>-2.25</v>
      </c>
      <c r="C219" s="7">
        <v>-1.1699250014423124</v>
      </c>
      <c r="D219" s="3">
        <v>3.26E-23</v>
      </c>
      <c r="E219" s="7">
        <v>71.91</v>
      </c>
      <c r="F219" s="7">
        <v>161.78</v>
      </c>
      <c r="G219" s="2" t="s">
        <v>1061</v>
      </c>
      <c r="H219" s="2" t="s">
        <v>1062</v>
      </c>
    </row>
    <row r="220" spans="1:8" s="1" customFormat="1" ht="13.8" x14ac:dyDescent="0.25">
      <c r="A220" s="6" t="s">
        <v>518</v>
      </c>
      <c r="B220" s="7">
        <v>-2.2400000000000002</v>
      </c>
      <c r="C220" s="7">
        <v>-1.1634987322828796</v>
      </c>
      <c r="D220" s="3">
        <v>2.1599999999999999E-17</v>
      </c>
      <c r="E220" s="7">
        <v>54.05</v>
      </c>
      <c r="F220" s="7">
        <v>121.09</v>
      </c>
      <c r="G220" s="2" t="s">
        <v>519</v>
      </c>
      <c r="H220" s="2" t="s">
        <v>520</v>
      </c>
    </row>
    <row r="221" spans="1:8" s="1" customFormat="1" ht="13.8" x14ac:dyDescent="0.25">
      <c r="A221" s="6" t="s">
        <v>283</v>
      </c>
      <c r="B221" s="7">
        <v>-2.2400000000000002</v>
      </c>
      <c r="C221" s="7">
        <v>-1.1634987322828796</v>
      </c>
      <c r="D221" s="3">
        <v>1.3700000000000001E-35</v>
      </c>
      <c r="E221" s="7">
        <v>113.02</v>
      </c>
      <c r="F221" s="7">
        <v>252.93</v>
      </c>
      <c r="G221" s="2" t="s">
        <v>284</v>
      </c>
      <c r="H221" s="2" t="s">
        <v>285</v>
      </c>
    </row>
    <row r="222" spans="1:8" s="1" customFormat="1" ht="13.8" x14ac:dyDescent="0.25">
      <c r="A222" s="6" t="s">
        <v>1321</v>
      </c>
      <c r="B222" s="7">
        <v>-2.23</v>
      </c>
      <c r="C222" s="7">
        <v>-1.1570437101455802</v>
      </c>
      <c r="D222" s="3">
        <v>2.2000000000000001E-4</v>
      </c>
      <c r="E222" s="7">
        <v>11.86</v>
      </c>
      <c r="F222" s="7">
        <v>26.5</v>
      </c>
      <c r="G222" s="2" t="s">
        <v>263</v>
      </c>
      <c r="H222" s="2" t="s">
        <v>1322</v>
      </c>
    </row>
    <row r="223" spans="1:8" s="1" customFormat="1" ht="13.8" x14ac:dyDescent="0.25">
      <c r="A223" s="6" t="s">
        <v>717</v>
      </c>
      <c r="B223" s="7">
        <v>-2.23</v>
      </c>
      <c r="C223" s="7">
        <v>-1.1570437101455802</v>
      </c>
      <c r="D223" s="3">
        <v>1.3399999999999999E-48</v>
      </c>
      <c r="E223" s="7">
        <v>156.49</v>
      </c>
      <c r="F223" s="7">
        <v>349.65</v>
      </c>
      <c r="G223" s="2" t="s">
        <v>355</v>
      </c>
      <c r="H223" s="2" t="s">
        <v>718</v>
      </c>
    </row>
    <row r="224" spans="1:8" s="1" customFormat="1" ht="13.8" x14ac:dyDescent="0.25">
      <c r="A224" s="6" t="s">
        <v>1103</v>
      </c>
      <c r="B224" s="7">
        <v>-2.2200000000000002</v>
      </c>
      <c r="C224" s="7">
        <v>-1.1505596765753814</v>
      </c>
      <c r="D224" s="3">
        <v>2.6100000000000001E-21</v>
      </c>
      <c r="E224" s="7">
        <v>68.290000000000006</v>
      </c>
      <c r="F224" s="7">
        <v>151.74</v>
      </c>
      <c r="G224" s="2" t="s">
        <v>1104</v>
      </c>
      <c r="H224" s="2" t="s">
        <v>1105</v>
      </c>
    </row>
    <row r="225" spans="1:8" s="1" customFormat="1" ht="13.8" x14ac:dyDescent="0.25">
      <c r="A225" s="6" t="s">
        <v>985</v>
      </c>
      <c r="B225" s="7">
        <v>-2.2200000000000002</v>
      </c>
      <c r="C225" s="7">
        <v>-1.1505596765753814</v>
      </c>
      <c r="D225" s="3">
        <v>2.9299999999999998E-20</v>
      </c>
      <c r="E225" s="7">
        <v>230.38</v>
      </c>
      <c r="F225" s="7">
        <v>510.66</v>
      </c>
      <c r="G225" s="2" t="s">
        <v>986</v>
      </c>
      <c r="H225" s="2" t="s">
        <v>987</v>
      </c>
    </row>
    <row r="226" spans="1:8" s="1" customFormat="1" ht="13.8" x14ac:dyDescent="0.25">
      <c r="A226" s="6" t="s">
        <v>1023</v>
      </c>
      <c r="B226" s="7">
        <v>-2.21</v>
      </c>
      <c r="C226" s="7">
        <v>-1.1440463696167069</v>
      </c>
      <c r="D226" s="3">
        <v>1.55E-30</v>
      </c>
      <c r="E226" s="7">
        <v>7736.85</v>
      </c>
      <c r="F226" s="7">
        <v>17129.53</v>
      </c>
      <c r="G226" s="2" t="s">
        <v>1024</v>
      </c>
      <c r="H226" s="2" t="s">
        <v>1025</v>
      </c>
    </row>
    <row r="227" spans="1:8" s="1" customFormat="1" ht="13.8" x14ac:dyDescent="0.25">
      <c r="A227" s="6" t="s">
        <v>749</v>
      </c>
      <c r="B227" s="7">
        <v>-2.21</v>
      </c>
      <c r="C227" s="7">
        <v>-1.1440463696167069</v>
      </c>
      <c r="D227" s="3">
        <v>3.7300000000000002E-7</v>
      </c>
      <c r="E227" s="7">
        <v>21.55</v>
      </c>
      <c r="F227" s="7">
        <v>47.7</v>
      </c>
      <c r="G227" s="2" t="s">
        <v>36</v>
      </c>
      <c r="H227" s="2" t="s">
        <v>750</v>
      </c>
    </row>
    <row r="228" spans="1:8" s="1" customFormat="1" ht="13.8" x14ac:dyDescent="0.25">
      <c r="A228" s="6" t="s">
        <v>292</v>
      </c>
      <c r="B228" s="7">
        <v>-2.21</v>
      </c>
      <c r="C228" s="7">
        <v>-1.1440463696167069</v>
      </c>
      <c r="D228" s="3">
        <v>7.4600000000000003E-4</v>
      </c>
      <c r="E228" s="7">
        <v>10.49</v>
      </c>
      <c r="F228" s="7">
        <v>23.14</v>
      </c>
      <c r="G228" s="2" t="s">
        <v>263</v>
      </c>
      <c r="H228" s="2" t="s">
        <v>293</v>
      </c>
    </row>
    <row r="229" spans="1:8" s="1" customFormat="1" ht="13.8" x14ac:dyDescent="0.25">
      <c r="A229" s="6" t="s">
        <v>977</v>
      </c>
      <c r="B229" s="7">
        <v>-2.2000000000000002</v>
      </c>
      <c r="C229" s="7">
        <v>-1.1375035237499351</v>
      </c>
      <c r="D229" s="3">
        <v>1.5200000000000001E-29</v>
      </c>
      <c r="E229" s="7">
        <v>97.97</v>
      </c>
      <c r="F229" s="7">
        <v>215.78</v>
      </c>
      <c r="G229" s="2" t="s">
        <v>978</v>
      </c>
      <c r="H229" s="2" t="s">
        <v>979</v>
      </c>
    </row>
    <row r="230" spans="1:8" s="1" customFormat="1" ht="13.8" x14ac:dyDescent="0.25">
      <c r="A230" s="6" t="s">
        <v>551</v>
      </c>
      <c r="B230" s="7">
        <v>-2.2000000000000002</v>
      </c>
      <c r="C230" s="7">
        <v>-1.1375035237499351</v>
      </c>
      <c r="D230" s="3">
        <v>8.9600000000000004E-17</v>
      </c>
      <c r="E230" s="7">
        <v>55.08</v>
      </c>
      <c r="F230" s="7">
        <v>121.05</v>
      </c>
      <c r="G230" s="2" t="s">
        <v>552</v>
      </c>
      <c r="H230" s="2" t="s">
        <v>553</v>
      </c>
    </row>
    <row r="231" spans="1:8" s="1" customFormat="1" ht="13.8" x14ac:dyDescent="0.25">
      <c r="A231" s="6" t="s">
        <v>1067</v>
      </c>
      <c r="B231" s="7">
        <v>-2.19</v>
      </c>
      <c r="C231" s="7">
        <v>-1.1309308698264486</v>
      </c>
      <c r="D231" s="3">
        <v>2.31E-10</v>
      </c>
      <c r="E231" s="7">
        <v>33.46</v>
      </c>
      <c r="F231" s="7">
        <v>73.25</v>
      </c>
      <c r="G231" s="2" t="s">
        <v>1068</v>
      </c>
      <c r="H231" s="2" t="s">
        <v>1069</v>
      </c>
    </row>
    <row r="232" spans="1:8" s="1" customFormat="1" ht="13.8" x14ac:dyDescent="0.25">
      <c r="A232" s="6" t="s">
        <v>344</v>
      </c>
      <c r="B232" s="7">
        <v>-2.19</v>
      </c>
      <c r="C232" s="7">
        <v>-1.1309308698264486</v>
      </c>
      <c r="D232" s="3">
        <v>2.0800000000000001E-8</v>
      </c>
      <c r="E232" s="7">
        <v>26.73</v>
      </c>
      <c r="F232" s="7">
        <v>58.46</v>
      </c>
      <c r="G232" s="2" t="s">
        <v>345</v>
      </c>
      <c r="H232" s="2" t="s">
        <v>346</v>
      </c>
    </row>
    <row r="233" spans="1:8" s="1" customFormat="1" ht="13.8" x14ac:dyDescent="0.25">
      <c r="A233" s="6" t="s">
        <v>475</v>
      </c>
      <c r="B233" s="7">
        <v>-2.1800000000000002</v>
      </c>
      <c r="C233" s="7">
        <v>-1.1243281350022019</v>
      </c>
      <c r="D233" s="3">
        <v>4.1199999999999999E-4</v>
      </c>
      <c r="E233" s="7">
        <v>11.79</v>
      </c>
      <c r="F233" s="7">
        <v>25.69</v>
      </c>
      <c r="G233" s="2" t="s">
        <v>476</v>
      </c>
      <c r="H233" s="2" t="s">
        <v>477</v>
      </c>
    </row>
    <row r="234" spans="1:8" s="1" customFormat="1" ht="13.8" x14ac:dyDescent="0.25">
      <c r="A234" s="6" t="s">
        <v>358</v>
      </c>
      <c r="B234" s="7">
        <v>-2.17</v>
      </c>
      <c r="C234" s="7">
        <v>-1.1176950426697545</v>
      </c>
      <c r="D234" s="3">
        <v>3.48E-18</v>
      </c>
      <c r="E234" s="7">
        <v>62.05</v>
      </c>
      <c r="F234" s="7">
        <v>134.78</v>
      </c>
      <c r="G234" s="2" t="s">
        <v>359</v>
      </c>
      <c r="H234" s="2" t="s">
        <v>360</v>
      </c>
    </row>
    <row r="235" spans="1:8" s="1" customFormat="1" ht="13.8" x14ac:dyDescent="0.25">
      <c r="A235" s="6" t="s">
        <v>1323</v>
      </c>
      <c r="B235" s="7">
        <v>-2.17</v>
      </c>
      <c r="C235" s="7">
        <v>-1.1176950426697545</v>
      </c>
      <c r="D235" s="3">
        <v>7.21E-15</v>
      </c>
      <c r="E235" s="7">
        <v>50.71</v>
      </c>
      <c r="F235" s="7">
        <v>109.87</v>
      </c>
      <c r="G235" s="2" t="s">
        <v>1324</v>
      </c>
      <c r="H235" s="2" t="s">
        <v>1325</v>
      </c>
    </row>
    <row r="236" spans="1:8" s="1" customFormat="1" ht="13.8" x14ac:dyDescent="0.25">
      <c r="A236" s="6" t="s">
        <v>751</v>
      </c>
      <c r="B236" s="7">
        <v>-2.17</v>
      </c>
      <c r="C236" s="7">
        <v>-1.1176950426697545</v>
      </c>
      <c r="D236" s="3">
        <v>1.23E-43</v>
      </c>
      <c r="E236" s="7">
        <v>168.62</v>
      </c>
      <c r="F236" s="7">
        <v>365.23</v>
      </c>
      <c r="G236" s="2" t="s">
        <v>752</v>
      </c>
      <c r="H236" s="2" t="s">
        <v>753</v>
      </c>
    </row>
    <row r="237" spans="1:8" s="1" customFormat="1" ht="13.8" x14ac:dyDescent="0.25">
      <c r="A237" s="6" t="s">
        <v>594</v>
      </c>
      <c r="B237" s="7">
        <v>-2.16</v>
      </c>
      <c r="C237" s="7">
        <v>-1.1110313123887441</v>
      </c>
      <c r="D237" s="3">
        <v>7.6799999999999993E-6</v>
      </c>
      <c r="E237" s="7">
        <v>18.309999999999999</v>
      </c>
      <c r="F237" s="7">
        <v>39.630000000000003</v>
      </c>
      <c r="G237" s="2" t="s">
        <v>595</v>
      </c>
      <c r="H237" s="2" t="s">
        <v>596</v>
      </c>
    </row>
    <row r="238" spans="1:8" s="1" customFormat="1" ht="13.8" x14ac:dyDescent="0.25">
      <c r="A238" s="6" t="s">
        <v>899</v>
      </c>
      <c r="B238" s="7">
        <v>-2.16</v>
      </c>
      <c r="C238" s="7">
        <v>-1.1110313123887441</v>
      </c>
      <c r="D238" s="3">
        <v>7.9599999999999998E-40</v>
      </c>
      <c r="E238" s="7">
        <v>140.27000000000001</v>
      </c>
      <c r="F238" s="7">
        <v>303.41000000000003</v>
      </c>
      <c r="G238" s="2" t="s">
        <v>900</v>
      </c>
      <c r="H238" s="2" t="s">
        <v>901</v>
      </c>
    </row>
    <row r="239" spans="1:8" s="1" customFormat="1" ht="13.8" x14ac:dyDescent="0.25">
      <c r="A239" s="6" t="s">
        <v>988</v>
      </c>
      <c r="B239" s="7">
        <v>-2.16</v>
      </c>
      <c r="C239" s="7">
        <v>-1.1110313123887441</v>
      </c>
      <c r="D239" s="3">
        <v>5.4E-10</v>
      </c>
      <c r="E239" s="7">
        <v>33.71</v>
      </c>
      <c r="F239" s="7">
        <v>72.680000000000007</v>
      </c>
      <c r="G239" s="2" t="s">
        <v>989</v>
      </c>
      <c r="H239" s="2" t="s">
        <v>990</v>
      </c>
    </row>
    <row r="240" spans="1:8" s="1" customFormat="1" ht="13.8" x14ac:dyDescent="0.25">
      <c r="A240" s="6" t="s">
        <v>227</v>
      </c>
      <c r="B240" s="7">
        <v>-2.15</v>
      </c>
      <c r="C240" s="7">
        <v>-1.1043366598147357</v>
      </c>
      <c r="D240" s="3">
        <v>9.8300000000000008E-15</v>
      </c>
      <c r="E240" s="7">
        <v>51.59</v>
      </c>
      <c r="F240" s="7">
        <v>110.79</v>
      </c>
      <c r="G240" s="2" t="s">
        <v>228</v>
      </c>
      <c r="H240" s="2" t="s">
        <v>229</v>
      </c>
    </row>
    <row r="241" spans="1:8" s="1" customFormat="1" ht="13.8" x14ac:dyDescent="0.25">
      <c r="A241" s="6" t="s">
        <v>1326</v>
      </c>
      <c r="B241" s="7">
        <v>-2.15</v>
      </c>
      <c r="C241" s="7">
        <v>-1.1043366598147357</v>
      </c>
      <c r="D241" s="3">
        <v>2.23E-9</v>
      </c>
      <c r="E241" s="7">
        <v>31.85</v>
      </c>
      <c r="F241" s="7">
        <v>68.39</v>
      </c>
      <c r="G241" s="2" t="s">
        <v>36</v>
      </c>
      <c r="H241" s="2" t="s">
        <v>1326</v>
      </c>
    </row>
    <row r="242" spans="1:8" s="1" customFormat="1" ht="13.8" x14ac:dyDescent="0.25">
      <c r="A242" s="6" t="s">
        <v>324</v>
      </c>
      <c r="B242" s="7">
        <v>-2.15</v>
      </c>
      <c r="C242" s="7">
        <v>-1.1043366598147357</v>
      </c>
      <c r="D242" s="3">
        <v>4.6299999999999996E-21</v>
      </c>
      <c r="E242" s="7">
        <v>125.43</v>
      </c>
      <c r="F242" s="7">
        <v>269.29000000000002</v>
      </c>
      <c r="G242" s="2" t="s">
        <v>36</v>
      </c>
      <c r="H242" s="2" t="s">
        <v>325</v>
      </c>
    </row>
    <row r="243" spans="1:8" s="1" customFormat="1" ht="13.8" x14ac:dyDescent="0.25">
      <c r="A243" s="6" t="s">
        <v>771</v>
      </c>
      <c r="B243" s="7">
        <v>-2.15</v>
      </c>
      <c r="C243" s="7">
        <v>-1.1043366598147357</v>
      </c>
      <c r="D243" s="3">
        <v>1.37E-18</v>
      </c>
      <c r="E243" s="7">
        <v>65.930000000000007</v>
      </c>
      <c r="F243" s="7">
        <v>141.43</v>
      </c>
      <c r="G243" s="2" t="s">
        <v>772</v>
      </c>
      <c r="H243" s="2" t="s">
        <v>773</v>
      </c>
    </row>
    <row r="244" spans="1:8" s="1" customFormat="1" ht="13.8" x14ac:dyDescent="0.25">
      <c r="A244" s="6" t="s">
        <v>189</v>
      </c>
      <c r="B244" s="7">
        <v>-2.14</v>
      </c>
      <c r="C244" s="7">
        <v>-1.0976107966264224</v>
      </c>
      <c r="D244" s="3">
        <v>8.5299999999999996E-6</v>
      </c>
      <c r="E244" s="7">
        <v>18.850000000000001</v>
      </c>
      <c r="F244" s="7">
        <v>40.299999999999997</v>
      </c>
      <c r="G244" s="2" t="s">
        <v>190</v>
      </c>
      <c r="H244" s="2" t="s">
        <v>191</v>
      </c>
    </row>
    <row r="245" spans="1:8" s="1" customFormat="1" ht="13.8" x14ac:dyDescent="0.25">
      <c r="A245" s="6" t="s">
        <v>648</v>
      </c>
      <c r="B245" s="7">
        <v>-2.13</v>
      </c>
      <c r="C245" s="7">
        <v>-1.0908534304511135</v>
      </c>
      <c r="D245" s="3">
        <v>1.3900000000000001E-10</v>
      </c>
      <c r="E245" s="7">
        <v>37.1</v>
      </c>
      <c r="F245" s="7">
        <v>79.099999999999994</v>
      </c>
      <c r="G245" s="2" t="s">
        <v>351</v>
      </c>
      <c r="H245" s="2" t="s">
        <v>648</v>
      </c>
    </row>
    <row r="246" spans="1:8" s="1" customFormat="1" ht="13.8" x14ac:dyDescent="0.25">
      <c r="A246" s="6" t="s">
        <v>715</v>
      </c>
      <c r="B246" s="7">
        <v>-2.13</v>
      </c>
      <c r="C246" s="7">
        <v>-1.0908534304511135</v>
      </c>
      <c r="D246" s="3">
        <v>1.8199999999999999E-7</v>
      </c>
      <c r="E246" s="7">
        <v>25.42</v>
      </c>
      <c r="F246" s="7">
        <v>54.12</v>
      </c>
      <c r="G246" s="2" t="s">
        <v>7</v>
      </c>
      <c r="H246" s="2" t="s">
        <v>716</v>
      </c>
    </row>
    <row r="247" spans="1:8" s="1" customFormat="1" ht="13.8" x14ac:dyDescent="0.25">
      <c r="A247" s="6" t="s">
        <v>697</v>
      </c>
      <c r="B247" s="7">
        <v>-2.13</v>
      </c>
      <c r="C247" s="7">
        <v>-1.0908534304511135</v>
      </c>
      <c r="D247" s="3">
        <v>2.0499999999999998E-31</v>
      </c>
      <c r="E247" s="7">
        <v>155.65</v>
      </c>
      <c r="F247" s="7">
        <v>331.05</v>
      </c>
      <c r="G247" s="2" t="s">
        <v>36</v>
      </c>
      <c r="H247" s="2" t="s">
        <v>698</v>
      </c>
    </row>
    <row r="248" spans="1:8" s="1" customFormat="1" ht="13.8" x14ac:dyDescent="0.25">
      <c r="A248" s="6" t="s">
        <v>1075</v>
      </c>
      <c r="B248" s="7">
        <v>-2.13</v>
      </c>
      <c r="C248" s="7">
        <v>-1.0908534304511135</v>
      </c>
      <c r="D248" s="3">
        <v>1.9499999999999999E-8</v>
      </c>
      <c r="E248" s="7">
        <v>29.27</v>
      </c>
      <c r="F248" s="7">
        <v>62.2</v>
      </c>
      <c r="G248" s="2" t="s">
        <v>7</v>
      </c>
      <c r="H248" s="2" t="s">
        <v>1076</v>
      </c>
    </row>
    <row r="249" spans="1:8" s="1" customFormat="1" ht="13.8" x14ac:dyDescent="0.25">
      <c r="A249" s="6" t="s">
        <v>616</v>
      </c>
      <c r="B249" s="7">
        <v>-2.12</v>
      </c>
      <c r="C249" s="7">
        <v>-1.0840642647884746</v>
      </c>
      <c r="D249" s="3">
        <v>2.5199999999999999E-43</v>
      </c>
      <c r="E249" s="7">
        <v>161.72999999999999</v>
      </c>
      <c r="F249" s="7">
        <v>343.41</v>
      </c>
      <c r="G249" s="2" t="s">
        <v>617</v>
      </c>
      <c r="H249" s="2" t="s">
        <v>618</v>
      </c>
    </row>
    <row r="250" spans="1:8" s="1" customFormat="1" ht="13.8" x14ac:dyDescent="0.25">
      <c r="A250" s="6" t="s">
        <v>905</v>
      </c>
      <c r="B250" s="7">
        <v>-2.12</v>
      </c>
      <c r="C250" s="7">
        <v>-1.0840642647884746</v>
      </c>
      <c r="D250" s="3">
        <v>6.7900000000000003E-20</v>
      </c>
      <c r="E250" s="7">
        <v>85.88</v>
      </c>
      <c r="F250" s="7">
        <v>182.15</v>
      </c>
      <c r="G250" s="2" t="s">
        <v>7</v>
      </c>
      <c r="H250" s="2" t="s">
        <v>905</v>
      </c>
    </row>
    <row r="251" spans="1:8" s="1" customFormat="1" ht="13.8" x14ac:dyDescent="0.25">
      <c r="A251" s="6" t="s">
        <v>527</v>
      </c>
      <c r="B251" s="7">
        <v>-2.12</v>
      </c>
      <c r="C251" s="7">
        <v>-1.0840642647884746</v>
      </c>
      <c r="D251" s="3">
        <v>1.7499999999999999E-7</v>
      </c>
      <c r="E251" s="7">
        <v>25.87</v>
      </c>
      <c r="F251" s="7">
        <v>54.81</v>
      </c>
      <c r="G251" s="2" t="s">
        <v>528</v>
      </c>
      <c r="H251" s="2" t="s">
        <v>529</v>
      </c>
    </row>
    <row r="252" spans="1:8" s="1" customFormat="1" ht="13.8" x14ac:dyDescent="0.25">
      <c r="A252" s="6" t="s">
        <v>491</v>
      </c>
      <c r="B252" s="7">
        <v>-2.12</v>
      </c>
      <c r="C252" s="7">
        <v>-1.0840642647884746</v>
      </c>
      <c r="D252" s="3">
        <v>9.0799999999999998E-5</v>
      </c>
      <c r="E252" s="7">
        <v>15.46</v>
      </c>
      <c r="F252" s="7">
        <v>32.72</v>
      </c>
      <c r="G252" s="2" t="s">
        <v>7</v>
      </c>
      <c r="H252" s="2" t="s">
        <v>491</v>
      </c>
    </row>
    <row r="253" spans="1:8" s="1" customFormat="1" ht="13.8" x14ac:dyDescent="0.25">
      <c r="A253" s="6" t="s">
        <v>502</v>
      </c>
      <c r="B253" s="7">
        <v>-2.11</v>
      </c>
      <c r="C253" s="7">
        <v>-1.0772429989324603</v>
      </c>
      <c r="D253" s="3">
        <v>2.43E-4</v>
      </c>
      <c r="E253" s="7">
        <v>13.96</v>
      </c>
      <c r="F253" s="7">
        <v>29.43</v>
      </c>
      <c r="G253" s="2" t="s">
        <v>7</v>
      </c>
      <c r="H253" s="2" t="s">
        <v>502</v>
      </c>
    </row>
    <row r="254" spans="1:8" s="1" customFormat="1" ht="13.8" x14ac:dyDescent="0.25">
      <c r="A254" s="6" t="s">
        <v>537</v>
      </c>
      <c r="B254" s="7">
        <v>-2.11</v>
      </c>
      <c r="C254" s="7">
        <v>-1.0772429989324603</v>
      </c>
      <c r="D254" s="3">
        <v>3.9999999999999998E-29</v>
      </c>
      <c r="E254" s="7">
        <v>110.34</v>
      </c>
      <c r="F254" s="7">
        <v>232.62</v>
      </c>
      <c r="G254" s="2" t="s">
        <v>538</v>
      </c>
      <c r="H254" s="2" t="s">
        <v>539</v>
      </c>
    </row>
    <row r="255" spans="1:8" s="1" customFormat="1" ht="13.8" x14ac:dyDescent="0.25">
      <c r="A255" s="6" t="s">
        <v>1327</v>
      </c>
      <c r="B255" s="7">
        <v>-2.1</v>
      </c>
      <c r="C255" s="7">
        <v>-1.0703893278913981</v>
      </c>
      <c r="D255" s="3">
        <v>1.12E-4</v>
      </c>
      <c r="E255" s="7">
        <v>15.39</v>
      </c>
      <c r="F255" s="7">
        <v>32.380000000000003</v>
      </c>
      <c r="G255" s="2" t="s">
        <v>1328</v>
      </c>
      <c r="H255" s="2" t="s">
        <v>1329</v>
      </c>
    </row>
    <row r="256" spans="1:8" s="1" customFormat="1" ht="13.8" x14ac:dyDescent="0.25">
      <c r="A256" s="6" t="s">
        <v>912</v>
      </c>
      <c r="B256" s="7">
        <v>-2.1</v>
      </c>
      <c r="C256" s="7">
        <v>-1.0703893278913981</v>
      </c>
      <c r="D256" s="3">
        <v>1.82E-30</v>
      </c>
      <c r="E256" s="7">
        <v>116.64</v>
      </c>
      <c r="F256" s="7">
        <v>245.14</v>
      </c>
      <c r="G256" s="2" t="s">
        <v>913</v>
      </c>
      <c r="H256" s="2" t="s">
        <v>914</v>
      </c>
    </row>
    <row r="257" spans="1:8" s="1" customFormat="1" ht="13.8" x14ac:dyDescent="0.25">
      <c r="A257" s="6" t="s">
        <v>926</v>
      </c>
      <c r="B257" s="7">
        <v>-2.08</v>
      </c>
      <c r="C257" s="7">
        <v>-1.0565835283663676</v>
      </c>
      <c r="D257" s="3">
        <v>5.6099999999999998E-50</v>
      </c>
      <c r="E257" s="7">
        <v>198.24</v>
      </c>
      <c r="F257" s="7">
        <v>413.12</v>
      </c>
      <c r="G257" s="2" t="s">
        <v>349</v>
      </c>
      <c r="H257" s="2" t="s">
        <v>927</v>
      </c>
    </row>
    <row r="258" spans="1:8" s="1" customFormat="1" ht="13.8" x14ac:dyDescent="0.25">
      <c r="A258" s="6" t="s">
        <v>826</v>
      </c>
      <c r="B258" s="7">
        <v>-2.0699999999999998</v>
      </c>
      <c r="C258" s="7">
        <v>-1.0496307677246004</v>
      </c>
      <c r="D258" s="3">
        <v>4.5000000000000001E-35</v>
      </c>
      <c r="E258" s="7">
        <v>140.32</v>
      </c>
      <c r="F258" s="7">
        <v>291.10000000000002</v>
      </c>
      <c r="G258" s="2" t="s">
        <v>827</v>
      </c>
      <c r="H258" s="2" t="s">
        <v>828</v>
      </c>
    </row>
    <row r="259" spans="1:8" s="1" customFormat="1" ht="13.8" x14ac:dyDescent="0.25">
      <c r="A259" s="6" t="s">
        <v>1330</v>
      </c>
      <c r="B259" s="7">
        <v>-2.0699999999999998</v>
      </c>
      <c r="C259" s="7">
        <v>-1.0496307677246004</v>
      </c>
      <c r="D259" s="3">
        <v>3.43E-5</v>
      </c>
      <c r="E259" s="7">
        <v>18.28</v>
      </c>
      <c r="F259" s="7">
        <v>37.89</v>
      </c>
      <c r="G259" s="2" t="s">
        <v>36</v>
      </c>
      <c r="H259" s="2" t="s">
        <v>1330</v>
      </c>
    </row>
    <row r="260" spans="1:8" s="1" customFormat="1" ht="13.8" x14ac:dyDescent="0.25">
      <c r="A260" s="6" t="s">
        <v>364</v>
      </c>
      <c r="B260" s="7">
        <v>-2.0699999999999998</v>
      </c>
      <c r="C260" s="7">
        <v>-1.0496307677246004</v>
      </c>
      <c r="D260" s="3">
        <v>1.8E-12</v>
      </c>
      <c r="E260" s="7">
        <v>48.31</v>
      </c>
      <c r="F260" s="7">
        <v>100.12</v>
      </c>
      <c r="G260" s="2" t="s">
        <v>365</v>
      </c>
      <c r="H260" s="2" t="s">
        <v>366</v>
      </c>
    </row>
    <row r="261" spans="1:8" s="1" customFormat="1" ht="13.8" x14ac:dyDescent="0.25">
      <c r="A261" s="6" t="s">
        <v>674</v>
      </c>
      <c r="B261" s="7">
        <v>-2.06</v>
      </c>
      <c r="C261" s="7">
        <v>-1.0426443374084939</v>
      </c>
      <c r="D261" s="3">
        <v>4.5599999999999998E-29</v>
      </c>
      <c r="E261" s="7">
        <v>117.68</v>
      </c>
      <c r="F261" s="7">
        <v>242.93</v>
      </c>
      <c r="G261" s="2" t="s">
        <v>232</v>
      </c>
      <c r="H261" s="2" t="s">
        <v>675</v>
      </c>
    </row>
    <row r="262" spans="1:8" s="1" customFormat="1" ht="13.8" x14ac:dyDescent="0.25">
      <c r="A262" s="6" t="s">
        <v>999</v>
      </c>
      <c r="B262" s="7">
        <v>-2.06</v>
      </c>
      <c r="C262" s="7">
        <v>-1.0426443374084939</v>
      </c>
      <c r="D262" s="3">
        <v>4.58E-71</v>
      </c>
      <c r="E262" s="7">
        <v>404.69</v>
      </c>
      <c r="F262" s="7">
        <v>834.65</v>
      </c>
      <c r="G262" s="2" t="s">
        <v>1000</v>
      </c>
      <c r="H262" s="2" t="s">
        <v>1001</v>
      </c>
    </row>
    <row r="263" spans="1:8" s="1" customFormat="1" ht="13.8" x14ac:dyDescent="0.25">
      <c r="A263" s="6" t="s">
        <v>946</v>
      </c>
      <c r="B263" s="7">
        <v>-2.06</v>
      </c>
      <c r="C263" s="7">
        <v>-1.0426443374084939</v>
      </c>
      <c r="D263" s="3">
        <v>8.0200000000000005E-11</v>
      </c>
      <c r="E263" s="7">
        <v>42.48</v>
      </c>
      <c r="F263" s="7">
        <v>87.42</v>
      </c>
      <c r="G263" s="2" t="s">
        <v>947</v>
      </c>
      <c r="H263" s="2" t="s">
        <v>948</v>
      </c>
    </row>
    <row r="264" spans="1:8" s="1" customFormat="1" ht="13.8" x14ac:dyDescent="0.25">
      <c r="A264" s="6" t="s">
        <v>453</v>
      </c>
      <c r="B264" s="7">
        <v>-2.0499999999999998</v>
      </c>
      <c r="C264" s="7">
        <v>-1.0356239097307214</v>
      </c>
      <c r="D264" s="3">
        <v>1.56E-4</v>
      </c>
      <c r="E264" s="7">
        <v>16.16</v>
      </c>
      <c r="F264" s="7">
        <v>33.08</v>
      </c>
      <c r="G264" s="2" t="s">
        <v>454</v>
      </c>
      <c r="H264" s="2" t="s">
        <v>455</v>
      </c>
    </row>
    <row r="265" spans="1:8" s="1" customFormat="1" ht="13.8" x14ac:dyDescent="0.25">
      <c r="A265" s="6" t="s">
        <v>1070</v>
      </c>
      <c r="B265" s="7">
        <v>-2.04</v>
      </c>
      <c r="C265" s="7">
        <v>-1.028569152196771</v>
      </c>
      <c r="D265" s="3">
        <v>2.8700000000000001E-6</v>
      </c>
      <c r="E265" s="7">
        <v>23.83</v>
      </c>
      <c r="F265" s="7">
        <v>48.66</v>
      </c>
      <c r="G265" s="2" t="s">
        <v>1071</v>
      </c>
      <c r="H265" s="2" t="s">
        <v>1072</v>
      </c>
    </row>
    <row r="266" spans="1:8" s="1" customFormat="1" ht="13.8" x14ac:dyDescent="0.25">
      <c r="A266" s="6" t="s">
        <v>1331</v>
      </c>
      <c r="B266" s="7">
        <v>-2.04</v>
      </c>
      <c r="C266" s="7">
        <v>-1.028569152196771</v>
      </c>
      <c r="D266" s="3">
        <v>2.3499999999999998E-18</v>
      </c>
      <c r="E266" s="7">
        <v>76.03</v>
      </c>
      <c r="F266" s="7">
        <v>155.24</v>
      </c>
      <c r="G266" s="2" t="s">
        <v>426</v>
      </c>
      <c r="H266" s="2" t="s">
        <v>1332</v>
      </c>
    </row>
    <row r="267" spans="1:8" s="1" customFormat="1" ht="13.8" x14ac:dyDescent="0.25">
      <c r="A267" s="6" t="s">
        <v>1333</v>
      </c>
      <c r="B267" s="7">
        <v>-2.0299999999999998</v>
      </c>
      <c r="C267" s="7">
        <v>-1.0214797274104515</v>
      </c>
      <c r="D267" s="3">
        <v>8.4399999999999999E-7</v>
      </c>
      <c r="E267" s="7">
        <v>26.72</v>
      </c>
      <c r="F267" s="7">
        <v>54.2</v>
      </c>
      <c r="G267" s="2" t="s">
        <v>1334</v>
      </c>
      <c r="H267" s="2" t="s">
        <v>1335</v>
      </c>
    </row>
    <row r="268" spans="1:8" s="1" customFormat="1" ht="13.8" x14ac:dyDescent="0.25">
      <c r="A268" s="6" t="s">
        <v>817</v>
      </c>
      <c r="B268" s="7">
        <v>-2.0299999999999998</v>
      </c>
      <c r="C268" s="7">
        <v>-1.0214797274104515</v>
      </c>
      <c r="D268" s="3">
        <v>3.7200000000000003E-5</v>
      </c>
      <c r="E268" s="7">
        <v>19.52</v>
      </c>
      <c r="F268" s="7">
        <v>39.549999999999997</v>
      </c>
      <c r="G268" s="2" t="s">
        <v>818</v>
      </c>
      <c r="H268" s="2" t="s">
        <v>819</v>
      </c>
    </row>
    <row r="269" spans="1:8" s="1" customFormat="1" ht="13.8" x14ac:dyDescent="0.25">
      <c r="A269" s="6" t="s">
        <v>483</v>
      </c>
      <c r="B269" s="7">
        <v>-2.02</v>
      </c>
      <c r="C269" s="7">
        <v>-1.0143552929770701</v>
      </c>
      <c r="D269" s="3">
        <v>7.9000000000000002E-17</v>
      </c>
      <c r="E269" s="7">
        <v>71.45</v>
      </c>
      <c r="F269" s="7">
        <v>144.66</v>
      </c>
      <c r="G269" s="2" t="s">
        <v>484</v>
      </c>
      <c r="H269" s="2" t="s">
        <v>485</v>
      </c>
    </row>
    <row r="270" spans="1:8" s="1" customFormat="1" ht="13.8" x14ac:dyDescent="0.25">
      <c r="A270" s="6" t="s">
        <v>1008</v>
      </c>
      <c r="B270" s="7">
        <v>-2.02</v>
      </c>
      <c r="C270" s="7">
        <v>-1.0143552929770701</v>
      </c>
      <c r="D270" s="3">
        <v>4.7800000000000002E-25</v>
      </c>
      <c r="E270" s="7">
        <v>115.07</v>
      </c>
      <c r="F270" s="7">
        <v>232.89</v>
      </c>
      <c r="G270" s="2" t="s">
        <v>1009</v>
      </c>
      <c r="H270" s="2" t="s">
        <v>1010</v>
      </c>
    </row>
    <row r="271" spans="1:8" s="1" customFormat="1" ht="13.8" x14ac:dyDescent="0.25">
      <c r="A271" s="6" t="s">
        <v>532</v>
      </c>
      <c r="B271" s="7">
        <v>-2.02</v>
      </c>
      <c r="C271" s="7">
        <v>-1.0143552929770701</v>
      </c>
      <c r="D271" s="3">
        <v>4.3099999999999998E-13</v>
      </c>
      <c r="E271" s="7">
        <v>145.22999999999999</v>
      </c>
      <c r="F271" s="7">
        <v>293.79000000000002</v>
      </c>
      <c r="G271" s="2" t="s">
        <v>533</v>
      </c>
      <c r="H271" s="2" t="s">
        <v>534</v>
      </c>
    </row>
    <row r="272" spans="1:8" s="1" customFormat="1" ht="13.8" x14ac:dyDescent="0.25">
      <c r="A272" s="6" t="s">
        <v>562</v>
      </c>
      <c r="B272" s="7">
        <v>-2.0099999999999998</v>
      </c>
      <c r="C272" s="7">
        <v>-1.0071955014042038</v>
      </c>
      <c r="D272" s="3">
        <v>5.9900000000000003E-4</v>
      </c>
      <c r="E272" s="7">
        <v>14.5</v>
      </c>
      <c r="F272" s="7">
        <v>29.14</v>
      </c>
      <c r="G272" s="2" t="s">
        <v>149</v>
      </c>
      <c r="H272" s="2" t="s">
        <v>563</v>
      </c>
    </row>
    <row r="273" spans="1:8" s="1" customFormat="1" ht="13.8" x14ac:dyDescent="0.25">
      <c r="A273" s="6" t="s">
        <v>545</v>
      </c>
      <c r="B273" s="7">
        <v>-2.0099999999999998</v>
      </c>
      <c r="C273" s="7">
        <v>-1.0071955014042038</v>
      </c>
      <c r="D273" s="3">
        <v>9.5099999999999998E-7</v>
      </c>
      <c r="E273" s="7">
        <v>27.47</v>
      </c>
      <c r="F273" s="7">
        <v>55.1</v>
      </c>
      <c r="G273" s="2" t="s">
        <v>546</v>
      </c>
      <c r="H273" s="2" t="s">
        <v>547</v>
      </c>
    </row>
    <row r="274" spans="1:8" s="1" customFormat="1" ht="13.8" x14ac:dyDescent="0.25">
      <c r="A274" s="6" t="s">
        <v>257</v>
      </c>
      <c r="B274" s="7">
        <v>-2</v>
      </c>
      <c r="C274" s="7">
        <v>-1</v>
      </c>
      <c r="D274" s="3">
        <v>2.74E-11</v>
      </c>
      <c r="E274" s="7">
        <v>48.65</v>
      </c>
      <c r="F274" s="7">
        <v>97.39</v>
      </c>
      <c r="G274" s="2" t="s">
        <v>258</v>
      </c>
      <c r="H274" s="2" t="s">
        <v>259</v>
      </c>
    </row>
    <row r="275" spans="1:8" s="1" customFormat="1" ht="13.8" x14ac:dyDescent="0.25">
      <c r="A275" s="6" t="s">
        <v>38</v>
      </c>
      <c r="B275" s="7">
        <v>2</v>
      </c>
      <c r="C275" s="7">
        <v>1</v>
      </c>
      <c r="D275" s="3">
        <v>3.27E-6</v>
      </c>
      <c r="E275" s="7">
        <v>50.36</v>
      </c>
      <c r="F275" s="7">
        <v>25.14</v>
      </c>
      <c r="G275" s="2" t="s">
        <v>36</v>
      </c>
      <c r="H275" s="2" t="s">
        <v>38</v>
      </c>
    </row>
    <row r="276" spans="1:8" s="1" customFormat="1" ht="13.8" x14ac:dyDescent="0.25">
      <c r="A276" s="6" t="s">
        <v>1214</v>
      </c>
      <c r="B276" s="7">
        <v>2.0099999999999998</v>
      </c>
      <c r="C276" s="7">
        <v>1.0071955014042038</v>
      </c>
      <c r="D276" s="3">
        <v>0</v>
      </c>
      <c r="E276" s="7">
        <v>1415.41</v>
      </c>
      <c r="F276" s="7">
        <v>705.01</v>
      </c>
      <c r="G276" s="2" t="s">
        <v>1215</v>
      </c>
      <c r="H276" s="2" t="s">
        <v>1216</v>
      </c>
    </row>
    <row r="277" spans="1:8" s="1" customFormat="1" ht="13.8" x14ac:dyDescent="0.25">
      <c r="A277" s="6" t="s">
        <v>438</v>
      </c>
      <c r="B277" s="7">
        <v>2.0099999999999998</v>
      </c>
      <c r="C277" s="7">
        <v>1.0071955014042038</v>
      </c>
      <c r="D277" s="3">
        <v>0</v>
      </c>
      <c r="E277" s="7">
        <v>2716.82</v>
      </c>
      <c r="F277" s="7">
        <v>1349.01</v>
      </c>
      <c r="G277" s="2" t="s">
        <v>439</v>
      </c>
      <c r="H277" s="2" t="s">
        <v>440</v>
      </c>
    </row>
    <row r="278" spans="1:8" s="1" customFormat="1" ht="13.8" x14ac:dyDescent="0.25">
      <c r="A278" s="6" t="s">
        <v>1336</v>
      </c>
      <c r="B278" s="7">
        <v>2.02</v>
      </c>
      <c r="C278" s="7">
        <v>1.0143552929770701</v>
      </c>
      <c r="D278" s="3">
        <v>0</v>
      </c>
      <c r="E278" s="7">
        <v>1490.16</v>
      </c>
      <c r="F278" s="7">
        <v>738.46</v>
      </c>
      <c r="G278" s="2" t="s">
        <v>1337</v>
      </c>
      <c r="H278" s="2" t="s">
        <v>1338</v>
      </c>
    </row>
    <row r="279" spans="1:8" s="1" customFormat="1" ht="13.8" x14ac:dyDescent="0.25">
      <c r="A279" s="6" t="s">
        <v>1339</v>
      </c>
      <c r="B279" s="7">
        <v>2.0299999999999998</v>
      </c>
      <c r="C279" s="7">
        <v>1.0214797274104515</v>
      </c>
      <c r="D279" s="3">
        <v>0</v>
      </c>
      <c r="E279" s="7">
        <v>225.31</v>
      </c>
      <c r="F279" s="7">
        <v>110.88</v>
      </c>
      <c r="G279" s="2" t="s">
        <v>7</v>
      </c>
      <c r="H279" s="2" t="s">
        <v>1340</v>
      </c>
    </row>
    <row r="280" spans="1:8" s="1" customFormat="1" ht="13.8" x14ac:dyDescent="0.25">
      <c r="A280" s="6" t="s">
        <v>1188</v>
      </c>
      <c r="B280" s="7">
        <v>2.04</v>
      </c>
      <c r="C280" s="7">
        <v>1.028569152196771</v>
      </c>
      <c r="D280" s="3">
        <v>0</v>
      </c>
      <c r="E280" s="7">
        <v>533.5</v>
      </c>
      <c r="F280" s="7">
        <v>261.93</v>
      </c>
      <c r="G280" s="2" t="s">
        <v>1189</v>
      </c>
      <c r="H280" s="2" t="s">
        <v>1190</v>
      </c>
    </row>
    <row r="281" spans="1:8" s="1" customFormat="1" ht="13.8" x14ac:dyDescent="0.25">
      <c r="A281" s="6" t="s">
        <v>530</v>
      </c>
      <c r="B281" s="7">
        <v>2.04</v>
      </c>
      <c r="C281" s="7">
        <v>1.028569152196771</v>
      </c>
      <c r="D281" s="3">
        <v>6.8700000000000006E-11</v>
      </c>
      <c r="E281" s="7">
        <v>93.02</v>
      </c>
      <c r="F281" s="7">
        <v>45.62</v>
      </c>
      <c r="G281" s="2" t="s">
        <v>127</v>
      </c>
      <c r="H281" s="2" t="s">
        <v>531</v>
      </c>
    </row>
    <row r="282" spans="1:8" s="1" customFormat="1" ht="13.8" x14ac:dyDescent="0.25">
      <c r="A282" s="6" t="s">
        <v>971</v>
      </c>
      <c r="B282" s="7">
        <v>2.04</v>
      </c>
      <c r="C282" s="7">
        <v>1.028569152196771</v>
      </c>
      <c r="D282" s="3">
        <v>4.8300000000000001E-9</v>
      </c>
      <c r="E282" s="7">
        <v>766.35</v>
      </c>
      <c r="F282" s="7">
        <v>374.81</v>
      </c>
      <c r="G282" s="2" t="s">
        <v>972</v>
      </c>
      <c r="H282" s="2" t="s">
        <v>973</v>
      </c>
    </row>
    <row r="283" spans="1:8" s="1" customFormat="1" ht="13.8" x14ac:dyDescent="0.25">
      <c r="A283" s="6" t="s">
        <v>829</v>
      </c>
      <c r="B283" s="7">
        <v>2.0699999999999998</v>
      </c>
      <c r="C283" s="7">
        <v>1.0496307677246004</v>
      </c>
      <c r="D283" s="3">
        <v>4.0000000000000003E-5</v>
      </c>
      <c r="E283" s="7">
        <v>37.270000000000003</v>
      </c>
      <c r="F283" s="7">
        <v>17.97</v>
      </c>
      <c r="G283" s="2" t="s">
        <v>830</v>
      </c>
      <c r="H283" s="2" t="s">
        <v>831</v>
      </c>
    </row>
    <row r="284" spans="1:8" s="1" customFormat="1" ht="13.8" x14ac:dyDescent="0.25">
      <c r="A284" s="6" t="s">
        <v>1113</v>
      </c>
      <c r="B284" s="7">
        <v>2.09</v>
      </c>
      <c r="C284" s="7">
        <v>1.0635029423061579</v>
      </c>
      <c r="D284" s="3">
        <v>6.8800000000000003E-4</v>
      </c>
      <c r="E284" s="7">
        <v>26.3</v>
      </c>
      <c r="F284" s="7">
        <v>12.61</v>
      </c>
      <c r="G284" s="2" t="s">
        <v>1114</v>
      </c>
      <c r="H284" s="2" t="s">
        <v>1115</v>
      </c>
    </row>
    <row r="285" spans="1:8" s="1" customFormat="1" ht="13.8" x14ac:dyDescent="0.25">
      <c r="A285" s="6" t="s">
        <v>1341</v>
      </c>
      <c r="B285" s="7">
        <v>2.1</v>
      </c>
      <c r="C285" s="7">
        <v>1.0703893278913981</v>
      </c>
      <c r="D285" s="3">
        <v>1.8600000000000001E-8</v>
      </c>
      <c r="E285" s="7">
        <v>63.81</v>
      </c>
      <c r="F285" s="7">
        <v>30.35</v>
      </c>
      <c r="G285" s="2" t="s">
        <v>340</v>
      </c>
      <c r="H285" s="2" t="s">
        <v>1342</v>
      </c>
    </row>
    <row r="286" spans="1:8" s="1" customFormat="1" ht="13.8" x14ac:dyDescent="0.25">
      <c r="A286" s="6" t="s">
        <v>315</v>
      </c>
      <c r="B286" s="7">
        <v>2.12</v>
      </c>
      <c r="C286" s="7">
        <v>1.0840642647884746</v>
      </c>
      <c r="D286" s="3">
        <v>0</v>
      </c>
      <c r="E286" s="7">
        <v>489.63</v>
      </c>
      <c r="F286" s="7">
        <v>231.47</v>
      </c>
      <c r="G286" s="2" t="s">
        <v>316</v>
      </c>
      <c r="H286" s="2" t="s">
        <v>317</v>
      </c>
    </row>
    <row r="287" spans="1:8" s="1" customFormat="1" ht="13.8" x14ac:dyDescent="0.25">
      <c r="A287" s="6" t="s">
        <v>896</v>
      </c>
      <c r="B287" s="7">
        <v>2.12</v>
      </c>
      <c r="C287" s="7">
        <v>1.0840642647884746</v>
      </c>
      <c r="D287" s="3">
        <v>0</v>
      </c>
      <c r="E287" s="7">
        <v>506.57</v>
      </c>
      <c r="F287" s="7">
        <v>239.32</v>
      </c>
      <c r="G287" s="2" t="s">
        <v>897</v>
      </c>
      <c r="H287" s="2" t="s">
        <v>898</v>
      </c>
    </row>
    <row r="288" spans="1:8" s="1" customFormat="1" ht="13.8" x14ac:dyDescent="0.25">
      <c r="A288" s="6" t="s">
        <v>1343</v>
      </c>
      <c r="B288" s="7">
        <v>2.12</v>
      </c>
      <c r="C288" s="7">
        <v>1.0840642647884746</v>
      </c>
      <c r="D288" s="3">
        <v>7.0100000000000002E-12</v>
      </c>
      <c r="E288" s="7">
        <v>90.83</v>
      </c>
      <c r="F288" s="7">
        <v>42.91</v>
      </c>
      <c r="G288" s="2" t="s">
        <v>7</v>
      </c>
      <c r="H288" s="2" t="s">
        <v>1344</v>
      </c>
    </row>
    <row r="289" spans="1:8" s="1" customFormat="1" ht="13.8" x14ac:dyDescent="0.25">
      <c r="A289" s="6" t="s">
        <v>583</v>
      </c>
      <c r="B289" s="7">
        <v>2.13</v>
      </c>
      <c r="C289" s="7">
        <v>1.0908534304511135</v>
      </c>
      <c r="D289" s="3">
        <v>6.1600000000000004E-10</v>
      </c>
      <c r="E289" s="7">
        <v>235.53</v>
      </c>
      <c r="F289" s="7">
        <v>110.67</v>
      </c>
      <c r="G289" s="2" t="s">
        <v>7</v>
      </c>
      <c r="H289" s="2" t="s">
        <v>583</v>
      </c>
    </row>
    <row r="290" spans="1:8" s="1" customFormat="1" ht="13.8" x14ac:dyDescent="0.25">
      <c r="A290" s="6" t="s">
        <v>573</v>
      </c>
      <c r="B290" s="7">
        <v>2.13</v>
      </c>
      <c r="C290" s="7">
        <v>1.0908534304511135</v>
      </c>
      <c r="D290" s="3">
        <v>1.1899999999999999E-7</v>
      </c>
      <c r="E290" s="7">
        <v>63.39</v>
      </c>
      <c r="F290" s="7">
        <v>29.73</v>
      </c>
      <c r="G290" s="2" t="s">
        <v>7</v>
      </c>
      <c r="H290" s="2" t="s">
        <v>573</v>
      </c>
    </row>
    <row r="291" spans="1:8" s="1" customFormat="1" ht="13.8" x14ac:dyDescent="0.25">
      <c r="A291" s="6" t="s">
        <v>1129</v>
      </c>
      <c r="B291" s="7">
        <v>2.13</v>
      </c>
      <c r="C291" s="7">
        <v>1.0908534304511135</v>
      </c>
      <c r="D291" s="3">
        <v>1.8600000000000001E-5</v>
      </c>
      <c r="E291" s="7">
        <v>37.799999999999997</v>
      </c>
      <c r="F291" s="7">
        <v>17.73</v>
      </c>
      <c r="G291" s="2" t="s">
        <v>92</v>
      </c>
      <c r="H291" s="2" t="s">
        <v>1130</v>
      </c>
    </row>
    <row r="292" spans="1:8" s="1" customFormat="1" ht="13.8" x14ac:dyDescent="0.25">
      <c r="A292" s="6" t="s">
        <v>21</v>
      </c>
      <c r="B292" s="7">
        <v>2.14</v>
      </c>
      <c r="C292" s="7">
        <v>1.0976107966264224</v>
      </c>
      <c r="D292" s="3">
        <v>1.54E-4</v>
      </c>
      <c r="E292" s="7">
        <v>30.21</v>
      </c>
      <c r="F292" s="7">
        <v>14.13</v>
      </c>
      <c r="G292" s="2" t="s">
        <v>22</v>
      </c>
      <c r="H292" s="2" t="s">
        <v>21</v>
      </c>
    </row>
    <row r="293" spans="1:8" s="1" customFormat="1" ht="13.8" x14ac:dyDescent="0.25">
      <c r="A293" s="6" t="s">
        <v>1388</v>
      </c>
      <c r="B293" s="7">
        <v>2.16</v>
      </c>
      <c r="C293" s="7">
        <v>1.1110313123887441</v>
      </c>
      <c r="D293" s="3">
        <v>0</v>
      </c>
      <c r="E293" s="7">
        <v>2013.08</v>
      </c>
      <c r="F293" s="7">
        <v>931.74</v>
      </c>
      <c r="G293" s="8" t="s">
        <v>1390</v>
      </c>
      <c r="H293" s="2"/>
    </row>
    <row r="294" spans="1:8" s="1" customFormat="1" ht="13.8" x14ac:dyDescent="0.25">
      <c r="A294" s="6" t="s">
        <v>798</v>
      </c>
      <c r="B294" s="7">
        <v>2.16</v>
      </c>
      <c r="C294" s="7">
        <v>1.1110313123887441</v>
      </c>
      <c r="D294" s="3">
        <v>2.36E-13</v>
      </c>
      <c r="E294" s="7">
        <v>98.56</v>
      </c>
      <c r="F294" s="7">
        <v>45.62</v>
      </c>
      <c r="G294" s="2" t="s">
        <v>7</v>
      </c>
      <c r="H294" s="2" t="s">
        <v>798</v>
      </c>
    </row>
    <row r="295" spans="1:8" s="1" customFormat="1" ht="13.8" x14ac:dyDescent="0.25">
      <c r="A295" s="6" t="s">
        <v>1345</v>
      </c>
      <c r="B295" s="7">
        <v>2.16</v>
      </c>
      <c r="C295" s="7">
        <v>1.1110313123887441</v>
      </c>
      <c r="D295" s="3">
        <v>1.88E-5</v>
      </c>
      <c r="E295" s="7">
        <v>36.659999999999997</v>
      </c>
      <c r="F295" s="7">
        <v>16.95</v>
      </c>
      <c r="G295" s="2" t="s">
        <v>830</v>
      </c>
      <c r="H295" s="2" t="s">
        <v>1346</v>
      </c>
    </row>
    <row r="296" spans="1:8" s="1" customFormat="1" ht="13.8" x14ac:dyDescent="0.25">
      <c r="A296" s="6" t="s">
        <v>1347</v>
      </c>
      <c r="B296" s="7">
        <v>2.17</v>
      </c>
      <c r="C296" s="7">
        <v>1.1176950426697545</v>
      </c>
      <c r="D296" s="3">
        <v>2.7799999999999999E-9</v>
      </c>
      <c r="E296" s="7">
        <v>66.16</v>
      </c>
      <c r="F296" s="7">
        <v>30.48</v>
      </c>
      <c r="G296" s="2" t="s">
        <v>1348</v>
      </c>
      <c r="H296" s="2" t="s">
        <v>1349</v>
      </c>
    </row>
    <row r="297" spans="1:8" s="1" customFormat="1" ht="13.8" x14ac:dyDescent="0.25">
      <c r="A297" s="6" t="s">
        <v>427</v>
      </c>
      <c r="B297" s="7">
        <v>2.17</v>
      </c>
      <c r="C297" s="7">
        <v>1.1176950426697545</v>
      </c>
      <c r="D297" s="3">
        <v>0</v>
      </c>
      <c r="E297" s="7">
        <v>201.18</v>
      </c>
      <c r="F297" s="7">
        <v>92.57</v>
      </c>
      <c r="G297" s="2" t="s">
        <v>428</v>
      </c>
      <c r="H297" s="2" t="s">
        <v>429</v>
      </c>
    </row>
    <row r="298" spans="1:8" s="1" customFormat="1" ht="13.8" x14ac:dyDescent="0.25">
      <c r="A298" s="6" t="s">
        <v>119</v>
      </c>
      <c r="B298" s="7">
        <v>2.17</v>
      </c>
      <c r="C298" s="7">
        <v>1.1176950426697545</v>
      </c>
      <c r="D298" s="3">
        <v>5.2000000000000001E-15</v>
      </c>
      <c r="E298" s="7">
        <v>109.46</v>
      </c>
      <c r="F298" s="7">
        <v>50.35</v>
      </c>
      <c r="G298" s="2" t="s">
        <v>7</v>
      </c>
      <c r="H298" s="2" t="s">
        <v>120</v>
      </c>
    </row>
    <row r="299" spans="1:8" s="1" customFormat="1" ht="13.8" x14ac:dyDescent="0.25">
      <c r="A299" s="6" t="s">
        <v>1350</v>
      </c>
      <c r="B299" s="7">
        <v>2.17</v>
      </c>
      <c r="C299" s="7">
        <v>1.1176950426697545</v>
      </c>
      <c r="D299" s="3">
        <v>0</v>
      </c>
      <c r="E299" s="7">
        <v>259</v>
      </c>
      <c r="F299" s="7">
        <v>119.12</v>
      </c>
      <c r="G299" s="2" t="s">
        <v>1351</v>
      </c>
      <c r="H299" s="2" t="s">
        <v>1352</v>
      </c>
    </row>
    <row r="300" spans="1:8" s="1" customFormat="1" ht="13.8" x14ac:dyDescent="0.25">
      <c r="A300" s="6" t="s">
        <v>1353</v>
      </c>
      <c r="B300" s="7">
        <v>2.1800000000000002</v>
      </c>
      <c r="C300" s="7">
        <v>1.1243281350022019</v>
      </c>
      <c r="D300" s="3">
        <v>5.2200000000000002E-5</v>
      </c>
      <c r="E300" s="7">
        <v>32.79</v>
      </c>
      <c r="F300" s="7">
        <v>15.07</v>
      </c>
      <c r="G300" s="2" t="s">
        <v>1354</v>
      </c>
      <c r="H300" s="2" t="s">
        <v>1355</v>
      </c>
    </row>
    <row r="301" spans="1:8" s="1" customFormat="1" ht="13.8" x14ac:dyDescent="0.25">
      <c r="A301" s="6" t="s">
        <v>341</v>
      </c>
      <c r="B301" s="7">
        <v>2.1800000000000002</v>
      </c>
      <c r="C301" s="7">
        <v>1.1243281350022019</v>
      </c>
      <c r="D301" s="3">
        <v>1.7800000000000001E-14</v>
      </c>
      <c r="E301" s="7">
        <v>106.01</v>
      </c>
      <c r="F301" s="7">
        <v>48.7</v>
      </c>
      <c r="G301" s="2" t="s">
        <v>342</v>
      </c>
      <c r="H301" s="2" t="s">
        <v>343</v>
      </c>
    </row>
    <row r="302" spans="1:8" s="1" customFormat="1" ht="13.8" x14ac:dyDescent="0.25">
      <c r="A302" s="6" t="s">
        <v>307</v>
      </c>
      <c r="B302" s="7">
        <v>2.1800000000000002</v>
      </c>
      <c r="C302" s="7">
        <v>1.1243281350022019</v>
      </c>
      <c r="D302" s="3">
        <v>0</v>
      </c>
      <c r="E302" s="7">
        <v>196.82</v>
      </c>
      <c r="F302" s="7">
        <v>90.27</v>
      </c>
      <c r="G302" s="2" t="s">
        <v>7</v>
      </c>
      <c r="H302" s="2" t="s">
        <v>307</v>
      </c>
    </row>
    <row r="303" spans="1:8" s="1" customFormat="1" ht="13.8" x14ac:dyDescent="0.25">
      <c r="A303" s="6" t="s">
        <v>472</v>
      </c>
      <c r="B303" s="7">
        <v>2.21</v>
      </c>
      <c r="C303" s="7">
        <v>1.1440463696167069</v>
      </c>
      <c r="D303" s="3">
        <v>5.2000000000000001E-15</v>
      </c>
      <c r="E303" s="7">
        <v>107.75</v>
      </c>
      <c r="F303" s="7">
        <v>48.84</v>
      </c>
      <c r="G303" s="2" t="s">
        <v>473</v>
      </c>
      <c r="H303" s="2" t="s">
        <v>474</v>
      </c>
    </row>
    <row r="304" spans="1:8" s="1" customFormat="1" ht="13.8" x14ac:dyDescent="0.25">
      <c r="A304" s="6" t="s">
        <v>1356</v>
      </c>
      <c r="B304" s="7">
        <v>2.2200000000000002</v>
      </c>
      <c r="C304" s="7">
        <v>1.1505596765753814</v>
      </c>
      <c r="D304" s="3">
        <v>1.79E-9</v>
      </c>
      <c r="E304" s="7">
        <v>64.42</v>
      </c>
      <c r="F304" s="7">
        <v>28.97</v>
      </c>
      <c r="G304" s="2" t="s">
        <v>1357</v>
      </c>
      <c r="H304" s="2" t="s">
        <v>1358</v>
      </c>
    </row>
    <row r="305" spans="1:8" s="1" customFormat="1" ht="13.8" x14ac:dyDescent="0.25">
      <c r="A305" s="6" t="s">
        <v>275</v>
      </c>
      <c r="B305" s="7">
        <v>2.23</v>
      </c>
      <c r="C305" s="7">
        <v>1.1570437101455802</v>
      </c>
      <c r="D305" s="3">
        <v>0</v>
      </c>
      <c r="E305" s="7">
        <v>697.14</v>
      </c>
      <c r="F305" s="7">
        <v>312.35000000000002</v>
      </c>
      <c r="G305" s="2" t="s">
        <v>276</v>
      </c>
      <c r="H305" s="2" t="s">
        <v>277</v>
      </c>
    </row>
    <row r="306" spans="1:8" s="1" customFormat="1" ht="13.8" x14ac:dyDescent="0.25">
      <c r="A306" s="6" t="s">
        <v>1106</v>
      </c>
      <c r="B306" s="7">
        <v>2.25</v>
      </c>
      <c r="C306" s="7">
        <v>1.1699250014423124</v>
      </c>
      <c r="D306" s="3">
        <v>8.0400000000000003E-5</v>
      </c>
      <c r="E306" s="7">
        <v>29.34</v>
      </c>
      <c r="F306" s="7">
        <v>13.04</v>
      </c>
      <c r="G306" s="2" t="s">
        <v>1107</v>
      </c>
      <c r="H306" s="2" t="s">
        <v>1108</v>
      </c>
    </row>
    <row r="307" spans="1:8" s="1" customFormat="1" ht="13.8" x14ac:dyDescent="0.25">
      <c r="A307" s="6" t="s">
        <v>1183</v>
      </c>
      <c r="B307" s="7">
        <v>2.2599999999999998</v>
      </c>
      <c r="C307" s="7">
        <v>1.1763227726404628</v>
      </c>
      <c r="D307" s="3">
        <v>0</v>
      </c>
      <c r="E307" s="7">
        <v>7096.02</v>
      </c>
      <c r="F307" s="7">
        <v>3139.66</v>
      </c>
      <c r="G307" s="2" t="s">
        <v>1184</v>
      </c>
      <c r="H307" s="2" t="s">
        <v>1185</v>
      </c>
    </row>
    <row r="308" spans="1:8" s="1" customFormat="1" ht="13.8" x14ac:dyDescent="0.25">
      <c r="A308" s="6" t="s">
        <v>393</v>
      </c>
      <c r="B308" s="7">
        <v>2.2799999999999998</v>
      </c>
      <c r="C308" s="7">
        <v>1.1890338243900169</v>
      </c>
      <c r="D308" s="3">
        <v>5.2000000000000001E-15</v>
      </c>
      <c r="E308" s="7">
        <v>100.07</v>
      </c>
      <c r="F308" s="7">
        <v>43.94</v>
      </c>
      <c r="G308" s="2" t="s">
        <v>394</v>
      </c>
      <c r="H308" s="2" t="s">
        <v>395</v>
      </c>
    </row>
    <row r="309" spans="1:8" s="1" customFormat="1" ht="13.8" x14ac:dyDescent="0.25">
      <c r="A309" s="6" t="s">
        <v>486</v>
      </c>
      <c r="B309" s="7">
        <v>2.2799999999999998</v>
      </c>
      <c r="C309" s="7">
        <v>1.1890338243900169</v>
      </c>
      <c r="D309" s="3">
        <v>0</v>
      </c>
      <c r="E309" s="7">
        <v>226.8</v>
      </c>
      <c r="F309" s="7">
        <v>99.32</v>
      </c>
      <c r="G309" s="2" t="s">
        <v>468</v>
      </c>
      <c r="H309" s="2" t="s">
        <v>487</v>
      </c>
    </row>
    <row r="310" spans="1:8" s="1" customFormat="1" ht="13.8" x14ac:dyDescent="0.25">
      <c r="A310" s="6" t="s">
        <v>1211</v>
      </c>
      <c r="B310" s="7">
        <v>2.2999999999999998</v>
      </c>
      <c r="C310" s="7">
        <v>1.2016338611696504</v>
      </c>
      <c r="D310" s="3">
        <v>0</v>
      </c>
      <c r="E310" s="7">
        <v>122.36</v>
      </c>
      <c r="F310" s="7">
        <v>53.28</v>
      </c>
      <c r="G310" s="2" t="s">
        <v>1212</v>
      </c>
      <c r="H310" s="2" t="s">
        <v>1213</v>
      </c>
    </row>
    <row r="311" spans="1:8" s="1" customFormat="1" ht="13.8" x14ac:dyDescent="0.25">
      <c r="A311" s="6" t="s">
        <v>367</v>
      </c>
      <c r="B311" s="7">
        <v>2.31</v>
      </c>
      <c r="C311" s="7">
        <v>1.207892851641333</v>
      </c>
      <c r="D311" s="3">
        <v>2.6399999999999998E-7</v>
      </c>
      <c r="E311" s="7">
        <v>45.06</v>
      </c>
      <c r="F311" s="7">
        <v>19.510000000000002</v>
      </c>
      <c r="G311" s="2" t="s">
        <v>368</v>
      </c>
      <c r="H311" s="2" t="s">
        <v>369</v>
      </c>
    </row>
    <row r="312" spans="1:8" s="1" customFormat="1" ht="13.8" x14ac:dyDescent="0.25">
      <c r="A312" s="6" t="s">
        <v>124</v>
      </c>
      <c r="B312" s="7">
        <v>2.3199999999999998</v>
      </c>
      <c r="C312" s="7">
        <v>1.2141248053528473</v>
      </c>
      <c r="D312" s="3">
        <v>0</v>
      </c>
      <c r="E312" s="7">
        <v>584.85</v>
      </c>
      <c r="F312" s="7">
        <v>251.78</v>
      </c>
      <c r="G312" s="2" t="s">
        <v>125</v>
      </c>
      <c r="H312" s="2" t="s">
        <v>126</v>
      </c>
    </row>
    <row r="313" spans="1:8" s="1" customFormat="1" ht="13.8" x14ac:dyDescent="0.25">
      <c r="A313" s="6" t="s">
        <v>1168</v>
      </c>
      <c r="B313" s="7">
        <v>2.33</v>
      </c>
      <c r="C313" s="7">
        <v>1.2203299548795556</v>
      </c>
      <c r="D313" s="3">
        <v>4.4500000000000002E-13</v>
      </c>
      <c r="E313" s="7">
        <v>83.52</v>
      </c>
      <c r="F313" s="7">
        <v>35.869999999999997</v>
      </c>
      <c r="G313" s="2" t="s">
        <v>1169</v>
      </c>
      <c r="H313" s="2" t="s">
        <v>1170</v>
      </c>
    </row>
    <row r="314" spans="1:8" s="1" customFormat="1" ht="13.8" x14ac:dyDescent="0.25">
      <c r="A314" s="6" t="s">
        <v>192</v>
      </c>
      <c r="B314" s="7">
        <v>2.33</v>
      </c>
      <c r="C314" s="7">
        <v>1.2203299548795556</v>
      </c>
      <c r="D314" s="3">
        <v>0</v>
      </c>
      <c r="E314" s="7">
        <v>325.02</v>
      </c>
      <c r="F314" s="7">
        <v>139.41</v>
      </c>
      <c r="G314" s="2" t="s">
        <v>193</v>
      </c>
      <c r="H314" s="2" t="s">
        <v>194</v>
      </c>
    </row>
    <row r="315" spans="1:8" s="1" customFormat="1" ht="13.8" x14ac:dyDescent="0.25">
      <c r="A315" s="6" t="s">
        <v>23</v>
      </c>
      <c r="B315" s="7">
        <v>2.34</v>
      </c>
      <c r="C315" s="7">
        <v>1.2265085298086797</v>
      </c>
      <c r="D315" s="3">
        <v>0</v>
      </c>
      <c r="E315" s="7">
        <v>380.14</v>
      </c>
      <c r="F315" s="7">
        <v>162.28</v>
      </c>
      <c r="G315" s="2" t="s">
        <v>24</v>
      </c>
      <c r="H315" s="2" t="s">
        <v>25</v>
      </c>
    </row>
    <row r="316" spans="1:8" s="1" customFormat="1" ht="13.8" x14ac:dyDescent="0.25">
      <c r="A316" s="6" t="s">
        <v>1359</v>
      </c>
      <c r="B316" s="7">
        <v>2.37</v>
      </c>
      <c r="C316" s="7">
        <v>1.2448870591235344</v>
      </c>
      <c r="D316" s="3">
        <v>0</v>
      </c>
      <c r="E316" s="7">
        <v>109.77</v>
      </c>
      <c r="F316" s="7">
        <v>46.41</v>
      </c>
      <c r="G316" s="2" t="s">
        <v>1360</v>
      </c>
      <c r="H316" s="2" t="s">
        <v>1361</v>
      </c>
    </row>
    <row r="317" spans="1:8" s="1" customFormat="1" ht="13.8" x14ac:dyDescent="0.25">
      <c r="A317" s="6" t="s">
        <v>1362</v>
      </c>
      <c r="B317" s="7">
        <v>2.37</v>
      </c>
      <c r="C317" s="7">
        <v>1.2448870591235344</v>
      </c>
      <c r="D317" s="3">
        <v>0</v>
      </c>
      <c r="E317" s="7">
        <v>489.73</v>
      </c>
      <c r="F317" s="7">
        <v>206.44</v>
      </c>
      <c r="G317" s="2" t="s">
        <v>1363</v>
      </c>
      <c r="H317" s="2" t="s">
        <v>1364</v>
      </c>
    </row>
    <row r="318" spans="1:8" s="1" customFormat="1" ht="13.8" x14ac:dyDescent="0.25">
      <c r="A318" s="6" t="s">
        <v>1365</v>
      </c>
      <c r="B318" s="7">
        <v>2.38</v>
      </c>
      <c r="C318" s="7">
        <v>1.2509615735332189</v>
      </c>
      <c r="D318" s="3">
        <v>0</v>
      </c>
      <c r="E318" s="7">
        <v>609.36</v>
      </c>
      <c r="F318" s="7">
        <v>256.29000000000002</v>
      </c>
      <c r="G318" s="2" t="s">
        <v>1366</v>
      </c>
      <c r="H318" s="2" t="s">
        <v>1367</v>
      </c>
    </row>
    <row r="319" spans="1:8" s="1" customFormat="1" ht="13.8" x14ac:dyDescent="0.25">
      <c r="A319" s="6" t="s">
        <v>51</v>
      </c>
      <c r="B319" s="7">
        <v>2.39</v>
      </c>
      <c r="C319" s="7">
        <v>1.2570106182060239</v>
      </c>
      <c r="D319" s="3">
        <v>2.4299999999999999E-12</v>
      </c>
      <c r="E319" s="7">
        <v>74.88</v>
      </c>
      <c r="F319" s="7">
        <v>31.31</v>
      </c>
      <c r="G319" s="2" t="s">
        <v>52</v>
      </c>
      <c r="H319" s="2" t="s">
        <v>53</v>
      </c>
    </row>
    <row r="320" spans="1:8" s="1" customFormat="1" ht="13.8" x14ac:dyDescent="0.25">
      <c r="A320" s="6" t="s">
        <v>844</v>
      </c>
      <c r="B320" s="7">
        <v>2.4</v>
      </c>
      <c r="C320" s="7">
        <v>1.2630344058337937</v>
      </c>
      <c r="D320" s="3">
        <v>3.9E-13</v>
      </c>
      <c r="E320" s="7">
        <v>79.75</v>
      </c>
      <c r="F320" s="7">
        <v>33.28</v>
      </c>
      <c r="G320" s="2" t="s">
        <v>845</v>
      </c>
      <c r="H320" s="2" t="s">
        <v>846</v>
      </c>
    </row>
    <row r="321" spans="1:8" s="1" customFormat="1" ht="13.8" x14ac:dyDescent="0.25">
      <c r="A321" s="6" t="s">
        <v>233</v>
      </c>
      <c r="B321" s="7">
        <v>2.4</v>
      </c>
      <c r="C321" s="7">
        <v>1.2630344058337937</v>
      </c>
      <c r="D321" s="3">
        <v>0</v>
      </c>
      <c r="E321" s="7">
        <v>116.72</v>
      </c>
      <c r="F321" s="7">
        <v>48.7</v>
      </c>
      <c r="G321" s="2" t="s">
        <v>234</v>
      </c>
      <c r="H321" s="2" t="s">
        <v>235</v>
      </c>
    </row>
    <row r="322" spans="1:8" s="1" customFormat="1" ht="13.8" x14ac:dyDescent="0.25">
      <c r="A322" s="6" t="s">
        <v>1197</v>
      </c>
      <c r="B322" s="7">
        <v>2.41</v>
      </c>
      <c r="C322" s="7">
        <v>1.2690331464552369</v>
      </c>
      <c r="D322" s="3">
        <v>0</v>
      </c>
      <c r="E322" s="7">
        <v>301.7</v>
      </c>
      <c r="F322" s="7">
        <v>125.42</v>
      </c>
      <c r="G322" s="2" t="s">
        <v>36</v>
      </c>
      <c r="H322" s="2" t="s">
        <v>1198</v>
      </c>
    </row>
    <row r="323" spans="1:8" s="1" customFormat="1" ht="13.8" x14ac:dyDescent="0.25">
      <c r="A323" s="6" t="s">
        <v>768</v>
      </c>
      <c r="B323" s="7">
        <v>2.42</v>
      </c>
      <c r="C323" s="7">
        <v>1.2750070474998698</v>
      </c>
      <c r="D323" s="3">
        <v>0</v>
      </c>
      <c r="E323" s="7">
        <v>293.20999999999998</v>
      </c>
      <c r="F323" s="7">
        <v>121.28</v>
      </c>
      <c r="G323" s="2" t="s">
        <v>769</v>
      </c>
      <c r="H323" s="2" t="s">
        <v>770</v>
      </c>
    </row>
    <row r="324" spans="1:8" s="1" customFormat="1" ht="13.8" x14ac:dyDescent="0.25">
      <c r="A324" s="6" t="s">
        <v>1162</v>
      </c>
      <c r="B324" s="7">
        <v>2.4300000000000002</v>
      </c>
      <c r="C324" s="7">
        <v>1.2809563138310562</v>
      </c>
      <c r="D324" s="3">
        <v>1.1999999999999999E-6</v>
      </c>
      <c r="E324" s="7">
        <v>37.06</v>
      </c>
      <c r="F324" s="7">
        <v>15.25</v>
      </c>
      <c r="G324" s="2" t="s">
        <v>1163</v>
      </c>
      <c r="H324" s="2" t="s">
        <v>1164</v>
      </c>
    </row>
    <row r="325" spans="1:8" s="1" customFormat="1" ht="13.8" x14ac:dyDescent="0.25">
      <c r="A325" s="6" t="s">
        <v>1112</v>
      </c>
      <c r="B325" s="7">
        <v>2.4300000000000002</v>
      </c>
      <c r="C325" s="7">
        <v>1.2809563138310562</v>
      </c>
      <c r="D325" s="3">
        <v>4.66E-8</v>
      </c>
      <c r="E325" s="7">
        <v>45.86</v>
      </c>
      <c r="F325" s="7">
        <v>18.850000000000001</v>
      </c>
      <c r="G325" s="2" t="s">
        <v>36</v>
      </c>
      <c r="H325" s="2" t="s">
        <v>1112</v>
      </c>
    </row>
    <row r="326" spans="1:8" s="1" customFormat="1" ht="13.8" x14ac:dyDescent="0.25">
      <c r="A326" s="6" t="s">
        <v>1165</v>
      </c>
      <c r="B326" s="7">
        <v>2.44</v>
      </c>
      <c r="C326" s="7">
        <v>1.2868811477881617</v>
      </c>
      <c r="D326" s="3">
        <v>1.4000000000000001E-10</v>
      </c>
      <c r="E326" s="7">
        <v>127.09</v>
      </c>
      <c r="F326" s="7">
        <v>52.18</v>
      </c>
      <c r="G326" s="2" t="s">
        <v>1166</v>
      </c>
      <c r="H326" s="2" t="s">
        <v>1167</v>
      </c>
    </row>
    <row r="327" spans="1:8" s="1" customFormat="1" ht="13.8" x14ac:dyDescent="0.25">
      <c r="A327" s="6" t="s">
        <v>687</v>
      </c>
      <c r="B327" s="7">
        <v>2.44</v>
      </c>
      <c r="C327" s="7">
        <v>1.2868811477881617</v>
      </c>
      <c r="D327" s="3">
        <v>7.9199999999999995E-4</v>
      </c>
      <c r="E327" s="7">
        <v>19.11</v>
      </c>
      <c r="F327" s="7">
        <v>7.83</v>
      </c>
      <c r="G327" s="2" t="s">
        <v>36</v>
      </c>
      <c r="H327" s="2" t="s">
        <v>687</v>
      </c>
    </row>
    <row r="328" spans="1:8" s="1" customFormat="1" ht="13.8" x14ac:dyDescent="0.25">
      <c r="A328" s="6" t="s">
        <v>153</v>
      </c>
      <c r="B328" s="7">
        <v>2.44</v>
      </c>
      <c r="C328" s="7">
        <v>1.2868811477881617</v>
      </c>
      <c r="D328" s="3">
        <v>0</v>
      </c>
      <c r="E328" s="7">
        <v>278.35000000000002</v>
      </c>
      <c r="F328" s="7">
        <v>113.98</v>
      </c>
      <c r="G328" s="2" t="s">
        <v>7</v>
      </c>
      <c r="H328" s="2" t="s">
        <v>153</v>
      </c>
    </row>
    <row r="329" spans="1:8" s="1" customFormat="1" ht="13.8" x14ac:dyDescent="0.25">
      <c r="A329" s="6" t="s">
        <v>15</v>
      </c>
      <c r="B329" s="7">
        <v>2.46</v>
      </c>
      <c r="C329" s="7">
        <v>1.2986583155645153</v>
      </c>
      <c r="D329" s="3">
        <v>2.7999999999999999E-6</v>
      </c>
      <c r="E329" s="7">
        <v>59.05</v>
      </c>
      <c r="F329" s="7">
        <v>24.04</v>
      </c>
      <c r="G329" s="2" t="s">
        <v>7</v>
      </c>
      <c r="H329" s="2" t="s">
        <v>16</v>
      </c>
    </row>
    <row r="330" spans="1:8" s="1" customFormat="1" ht="13.8" x14ac:dyDescent="0.25">
      <c r="A330" s="6" t="s">
        <v>166</v>
      </c>
      <c r="B330" s="7">
        <v>2.46</v>
      </c>
      <c r="C330" s="7">
        <v>1.2986583155645153</v>
      </c>
      <c r="D330" s="3">
        <v>0</v>
      </c>
      <c r="E330" s="7">
        <v>249.41</v>
      </c>
      <c r="F330" s="7">
        <v>101.48</v>
      </c>
      <c r="G330" s="2" t="s">
        <v>167</v>
      </c>
      <c r="H330" s="2" t="s">
        <v>168</v>
      </c>
    </row>
    <row r="331" spans="1:8" s="1" customFormat="1" ht="13.8" x14ac:dyDescent="0.25">
      <c r="A331" s="6" t="s">
        <v>1208</v>
      </c>
      <c r="B331" s="7">
        <v>2.46</v>
      </c>
      <c r="C331" s="7">
        <v>1.2986583155645153</v>
      </c>
      <c r="D331" s="3">
        <v>9.4699999999999998E-5</v>
      </c>
      <c r="E331" s="7">
        <v>24.62</v>
      </c>
      <c r="F331" s="7">
        <v>10.02</v>
      </c>
      <c r="G331" s="2" t="s">
        <v>1209</v>
      </c>
      <c r="H331" s="2" t="s">
        <v>1210</v>
      </c>
    </row>
    <row r="332" spans="1:8" s="1" customFormat="1" ht="13.8" x14ac:dyDescent="0.25">
      <c r="A332" s="6" t="s">
        <v>1368</v>
      </c>
      <c r="B332" s="7">
        <v>2.46</v>
      </c>
      <c r="C332" s="7">
        <v>1.2986583155645153</v>
      </c>
      <c r="D332" s="3">
        <v>0</v>
      </c>
      <c r="E332" s="7">
        <v>544.5</v>
      </c>
      <c r="F332" s="7">
        <v>221.53</v>
      </c>
      <c r="G332" s="2" t="s">
        <v>256</v>
      </c>
      <c r="H332" s="2" t="s">
        <v>1369</v>
      </c>
    </row>
    <row r="333" spans="1:8" s="1" customFormat="1" ht="13.8" x14ac:dyDescent="0.25">
      <c r="A333" s="6" t="s">
        <v>1231</v>
      </c>
      <c r="B333" s="7">
        <v>2.46</v>
      </c>
      <c r="C333" s="7">
        <v>1.2986583155645153</v>
      </c>
      <c r="D333" s="3">
        <v>9.2299999999999999E-4</v>
      </c>
      <c r="E333" s="7">
        <v>18.399999999999999</v>
      </c>
      <c r="F333" s="7">
        <v>7.47</v>
      </c>
      <c r="G333" s="2" t="s">
        <v>1232</v>
      </c>
      <c r="H333" s="2" t="s">
        <v>1233</v>
      </c>
    </row>
    <row r="334" spans="1:8" s="1" customFormat="1" ht="13.8" x14ac:dyDescent="0.25">
      <c r="A334" s="6" t="s">
        <v>1194</v>
      </c>
      <c r="B334" s="7">
        <v>2.48</v>
      </c>
      <c r="C334" s="7">
        <v>1.3103401206121505</v>
      </c>
      <c r="D334" s="3">
        <v>0</v>
      </c>
      <c r="E334" s="7">
        <v>145.78</v>
      </c>
      <c r="F334" s="7">
        <v>58.89</v>
      </c>
      <c r="G334" s="2" t="s">
        <v>1195</v>
      </c>
      <c r="H334" s="2" t="s">
        <v>1196</v>
      </c>
    </row>
    <row r="335" spans="1:8" s="1" customFormat="1" ht="13.8" x14ac:dyDescent="0.25">
      <c r="A335" s="6" t="s">
        <v>1154</v>
      </c>
      <c r="B335" s="7">
        <v>2.48</v>
      </c>
      <c r="C335" s="7">
        <v>1.3103401206121505</v>
      </c>
      <c r="D335" s="3">
        <v>0</v>
      </c>
      <c r="E335" s="7">
        <v>720.26</v>
      </c>
      <c r="F335" s="7">
        <v>290.20999999999998</v>
      </c>
      <c r="G335" s="2" t="s">
        <v>1155</v>
      </c>
      <c r="H335" s="2" t="s">
        <v>1156</v>
      </c>
    </row>
    <row r="336" spans="1:8" s="1" customFormat="1" ht="13.8" x14ac:dyDescent="0.25">
      <c r="A336" s="6" t="s">
        <v>387</v>
      </c>
      <c r="B336" s="7">
        <v>2.4900000000000002</v>
      </c>
      <c r="C336" s="7">
        <v>1.3161457422933565</v>
      </c>
      <c r="D336" s="3">
        <v>2.03E-10</v>
      </c>
      <c r="E336" s="7">
        <v>58.58</v>
      </c>
      <c r="F336" s="7">
        <v>23.57</v>
      </c>
      <c r="G336" s="2" t="s">
        <v>7</v>
      </c>
      <c r="H336" s="2" t="s">
        <v>388</v>
      </c>
    </row>
    <row r="337" spans="1:8" s="1" customFormat="1" ht="13.8" x14ac:dyDescent="0.25">
      <c r="A337" s="6" t="s">
        <v>554</v>
      </c>
      <c r="B337" s="7">
        <v>2.4900000000000002</v>
      </c>
      <c r="C337" s="7">
        <v>1.3161457422933565</v>
      </c>
      <c r="D337" s="3">
        <v>6.5200000000000005E-13</v>
      </c>
      <c r="E337" s="7">
        <v>73.31</v>
      </c>
      <c r="F337" s="7">
        <v>29.41</v>
      </c>
      <c r="G337" s="2" t="s">
        <v>555</v>
      </c>
      <c r="H337" s="2" t="s">
        <v>556</v>
      </c>
    </row>
    <row r="338" spans="1:8" s="1" customFormat="1" ht="13.8" x14ac:dyDescent="0.25">
      <c r="A338" s="6" t="s">
        <v>390</v>
      </c>
      <c r="B338" s="7">
        <v>2.5099999999999998</v>
      </c>
      <c r="C338" s="7">
        <v>1.3276873641760472</v>
      </c>
      <c r="D338" s="3">
        <v>1.5599999999999999E-7</v>
      </c>
      <c r="E338" s="7">
        <v>40.36</v>
      </c>
      <c r="F338" s="7">
        <v>16.059999999999999</v>
      </c>
      <c r="G338" s="2" t="s">
        <v>391</v>
      </c>
      <c r="H338" s="2" t="s">
        <v>392</v>
      </c>
    </row>
    <row r="339" spans="1:8" s="1" customFormat="1" ht="13.8" x14ac:dyDescent="0.25">
      <c r="A339" s="6" t="s">
        <v>239</v>
      </c>
      <c r="B339" s="7">
        <v>2.52</v>
      </c>
      <c r="C339" s="7">
        <v>1.3334237337251917</v>
      </c>
      <c r="D339" s="3">
        <v>0</v>
      </c>
      <c r="E339" s="7">
        <v>183.28</v>
      </c>
      <c r="F339" s="7">
        <v>72.67</v>
      </c>
      <c r="G339" s="2" t="s">
        <v>240</v>
      </c>
      <c r="H339" s="2" t="s">
        <v>241</v>
      </c>
    </row>
    <row r="340" spans="1:8" s="1" customFormat="1" ht="13.8" x14ac:dyDescent="0.25">
      <c r="A340" s="6" t="s">
        <v>41</v>
      </c>
      <c r="B340" s="7">
        <v>2.52</v>
      </c>
      <c r="C340" s="7">
        <v>1.3334237337251917</v>
      </c>
      <c r="D340" s="3">
        <v>0</v>
      </c>
      <c r="E340" s="7">
        <v>288.25</v>
      </c>
      <c r="F340" s="7">
        <v>114.25</v>
      </c>
      <c r="G340" s="2" t="s">
        <v>42</v>
      </c>
      <c r="H340" s="2" t="s">
        <v>43</v>
      </c>
    </row>
    <row r="341" spans="1:8" s="1" customFormat="1" ht="13.8" x14ac:dyDescent="0.25">
      <c r="A341" s="6" t="s">
        <v>1109</v>
      </c>
      <c r="B341" s="7">
        <v>2.54</v>
      </c>
      <c r="C341" s="7">
        <v>1.3448284969974413</v>
      </c>
      <c r="D341" s="3">
        <v>0</v>
      </c>
      <c r="E341" s="7">
        <v>191.5</v>
      </c>
      <c r="F341" s="7">
        <v>75.5</v>
      </c>
      <c r="G341" s="2" t="s">
        <v>7</v>
      </c>
      <c r="H341" s="2" t="s">
        <v>1109</v>
      </c>
    </row>
    <row r="342" spans="1:8" s="1" customFormat="1" ht="13.8" x14ac:dyDescent="0.25">
      <c r="A342" s="6" t="s">
        <v>198</v>
      </c>
      <c r="B342" s="7">
        <v>2.54</v>
      </c>
      <c r="C342" s="7">
        <v>1.3448284969974413</v>
      </c>
      <c r="D342" s="3">
        <v>0</v>
      </c>
      <c r="E342" s="7">
        <v>1026.22</v>
      </c>
      <c r="F342" s="7">
        <v>404.23</v>
      </c>
      <c r="G342" s="2" t="s">
        <v>199</v>
      </c>
      <c r="H342" s="2" t="s">
        <v>200</v>
      </c>
    </row>
    <row r="343" spans="1:8" s="1" customFormat="1" ht="13.8" x14ac:dyDescent="0.25">
      <c r="A343" s="6" t="s">
        <v>568</v>
      </c>
      <c r="B343" s="7">
        <v>2.5499999999999998</v>
      </c>
      <c r="C343" s="7">
        <v>1.3504972470841332</v>
      </c>
      <c r="D343" s="3">
        <v>0</v>
      </c>
      <c r="E343" s="7">
        <v>223.25</v>
      </c>
      <c r="F343" s="7">
        <v>87.44</v>
      </c>
      <c r="G343" s="2" t="s">
        <v>7</v>
      </c>
      <c r="H343" s="2" t="s">
        <v>569</v>
      </c>
    </row>
    <row r="344" spans="1:8" s="1" customFormat="1" ht="13.8" x14ac:dyDescent="0.25">
      <c r="A344" s="6" t="s">
        <v>1234</v>
      </c>
      <c r="B344" s="7">
        <v>2.57</v>
      </c>
      <c r="C344" s="7">
        <v>1.3617683594191534</v>
      </c>
      <c r="D344" s="3">
        <v>0</v>
      </c>
      <c r="E344" s="7">
        <v>239.94</v>
      </c>
      <c r="F344" s="7">
        <v>93.53</v>
      </c>
      <c r="G344" s="2" t="s">
        <v>118</v>
      </c>
      <c r="H344" s="2" t="s">
        <v>1235</v>
      </c>
    </row>
    <row r="345" spans="1:8" s="1" customFormat="1" ht="13.8" x14ac:dyDescent="0.25">
      <c r="A345" s="6" t="s">
        <v>217</v>
      </c>
      <c r="B345" s="7">
        <v>2.59</v>
      </c>
      <c r="C345" s="7">
        <v>1.3729520979118293</v>
      </c>
      <c r="D345" s="3">
        <v>2.03E-6</v>
      </c>
      <c r="E345" s="7">
        <v>32.17</v>
      </c>
      <c r="F345" s="7">
        <v>12.42</v>
      </c>
      <c r="G345" s="2" t="s">
        <v>218</v>
      </c>
      <c r="H345" s="2" t="s">
        <v>219</v>
      </c>
    </row>
    <row r="346" spans="1:8" s="1" customFormat="1" ht="13.8" x14ac:dyDescent="0.25">
      <c r="A346" s="6" t="s">
        <v>1217</v>
      </c>
      <c r="B346" s="7">
        <v>2.6</v>
      </c>
      <c r="C346" s="7">
        <v>1.3785116232537298</v>
      </c>
      <c r="D346" s="3">
        <v>3.0899999999999998E-4</v>
      </c>
      <c r="E346" s="7">
        <v>19.57</v>
      </c>
      <c r="F346" s="7">
        <v>7.52</v>
      </c>
      <c r="G346" s="2" t="s">
        <v>1218</v>
      </c>
      <c r="H346" s="2" t="s">
        <v>1219</v>
      </c>
    </row>
    <row r="347" spans="1:8" s="1" customFormat="1" ht="13.8" x14ac:dyDescent="0.25">
      <c r="A347" s="6" t="s">
        <v>1120</v>
      </c>
      <c r="B347" s="7">
        <v>2.62</v>
      </c>
      <c r="C347" s="7">
        <v>1.3895668117627258</v>
      </c>
      <c r="D347" s="3">
        <v>0</v>
      </c>
      <c r="E347" s="7">
        <v>906.11</v>
      </c>
      <c r="F347" s="7">
        <v>346.16</v>
      </c>
      <c r="G347" s="2" t="s">
        <v>1121</v>
      </c>
      <c r="H347" s="2" t="s">
        <v>1122</v>
      </c>
    </row>
    <row r="348" spans="1:8" s="1" customFormat="1" ht="13.8" x14ac:dyDescent="0.25">
      <c r="A348" s="6" t="s">
        <v>96</v>
      </c>
      <c r="B348" s="7">
        <v>2.63</v>
      </c>
      <c r="C348" s="7">
        <v>1.3950627995175777</v>
      </c>
      <c r="D348" s="3">
        <v>0</v>
      </c>
      <c r="E348" s="7">
        <v>202.62</v>
      </c>
      <c r="F348" s="7">
        <v>76.989999999999995</v>
      </c>
      <c r="G348" s="2" t="s">
        <v>97</v>
      </c>
      <c r="H348" s="2" t="s">
        <v>98</v>
      </c>
    </row>
    <row r="349" spans="1:8" s="1" customFormat="1" ht="13.8" x14ac:dyDescent="0.25">
      <c r="A349" s="6" t="s">
        <v>1224</v>
      </c>
      <c r="B349" s="7">
        <v>2.65</v>
      </c>
      <c r="C349" s="7">
        <v>1.4059923596758368</v>
      </c>
      <c r="D349" s="3">
        <v>4.9799999999999998E-5</v>
      </c>
      <c r="E349" s="7">
        <v>33.53</v>
      </c>
      <c r="F349" s="7">
        <v>12.65</v>
      </c>
      <c r="G349" s="2" t="s">
        <v>1225</v>
      </c>
      <c r="H349" s="2" t="s">
        <v>1226</v>
      </c>
    </row>
    <row r="350" spans="1:8" s="1" customFormat="1" ht="13.8" x14ac:dyDescent="0.25">
      <c r="A350" s="6" t="s">
        <v>1370</v>
      </c>
      <c r="B350" s="7">
        <v>2.65</v>
      </c>
      <c r="C350" s="7">
        <v>1.4059923596758368</v>
      </c>
      <c r="D350" s="3">
        <v>4.1299999999999996E-9</v>
      </c>
      <c r="E350" s="7">
        <v>45.76</v>
      </c>
      <c r="F350" s="7">
        <v>17.25</v>
      </c>
      <c r="G350" s="2" t="s">
        <v>1371</v>
      </c>
      <c r="H350" s="2" t="s">
        <v>1370</v>
      </c>
    </row>
    <row r="351" spans="1:8" s="1" customFormat="1" ht="13.8" x14ac:dyDescent="0.25">
      <c r="A351" s="6" t="s">
        <v>1116</v>
      </c>
      <c r="B351" s="7">
        <v>2.66</v>
      </c>
      <c r="C351" s="7">
        <v>1.411426245726465</v>
      </c>
      <c r="D351" s="3">
        <v>3.2900000000000001E-13</v>
      </c>
      <c r="E351" s="7">
        <v>67.94</v>
      </c>
      <c r="F351" s="7">
        <v>25.55</v>
      </c>
      <c r="G351" s="2" t="s">
        <v>7</v>
      </c>
      <c r="H351" s="2" t="s">
        <v>1116</v>
      </c>
    </row>
    <row r="352" spans="1:8" s="1" customFormat="1" ht="13.8" x14ac:dyDescent="0.25">
      <c r="A352" s="6" t="s">
        <v>294</v>
      </c>
      <c r="B352" s="7">
        <v>2.66</v>
      </c>
      <c r="C352" s="7">
        <v>1.411426245726465</v>
      </c>
      <c r="D352" s="3">
        <v>0</v>
      </c>
      <c r="E352" s="7">
        <v>1261.4000000000001</v>
      </c>
      <c r="F352" s="7">
        <v>473.72</v>
      </c>
      <c r="G352" s="2" t="s">
        <v>7</v>
      </c>
      <c r="H352" s="2" t="s">
        <v>294</v>
      </c>
    </row>
    <row r="353" spans="1:8" s="1" customFormat="1" ht="13.8" x14ac:dyDescent="0.25">
      <c r="A353" s="6" t="s">
        <v>1151</v>
      </c>
      <c r="B353" s="7">
        <v>2.67</v>
      </c>
      <c r="C353" s="7">
        <v>1.4168397419128294</v>
      </c>
      <c r="D353" s="3">
        <v>0</v>
      </c>
      <c r="E353" s="7">
        <v>86.94</v>
      </c>
      <c r="F353" s="7">
        <v>32.590000000000003</v>
      </c>
      <c r="G353" s="2" t="s">
        <v>1152</v>
      </c>
      <c r="H353" s="2" t="s">
        <v>1153</v>
      </c>
    </row>
    <row r="354" spans="1:8" s="1" customFormat="1" ht="13.8" x14ac:dyDescent="0.25">
      <c r="A354" s="6" t="s">
        <v>271</v>
      </c>
      <c r="B354" s="7">
        <v>2.67</v>
      </c>
      <c r="C354" s="7">
        <v>1.4168397419128294</v>
      </c>
      <c r="D354" s="3">
        <v>1.7800000000000001E-14</v>
      </c>
      <c r="E354" s="7">
        <v>593.92999999999995</v>
      </c>
      <c r="F354" s="7">
        <v>222.55</v>
      </c>
      <c r="G354" s="2" t="s">
        <v>272</v>
      </c>
      <c r="H354" s="2" t="s">
        <v>273</v>
      </c>
    </row>
    <row r="355" spans="1:8" s="1" customFormat="1" ht="13.8" x14ac:dyDescent="0.25">
      <c r="A355" s="6" t="s">
        <v>58</v>
      </c>
      <c r="B355" s="7">
        <v>2.68</v>
      </c>
      <c r="C355" s="7">
        <v>1.4222330006830479</v>
      </c>
      <c r="D355" s="3">
        <v>0</v>
      </c>
      <c r="E355" s="7">
        <v>93.13</v>
      </c>
      <c r="F355" s="7">
        <v>34.729999999999997</v>
      </c>
      <c r="G355" s="2" t="s">
        <v>59</v>
      </c>
      <c r="H355" s="2" t="s">
        <v>60</v>
      </c>
    </row>
    <row r="356" spans="1:8" s="1" customFormat="1" ht="13.8" x14ac:dyDescent="0.25">
      <c r="A356" s="6" t="s">
        <v>121</v>
      </c>
      <c r="B356" s="7">
        <v>2.68</v>
      </c>
      <c r="C356" s="7">
        <v>1.4222330006830479</v>
      </c>
      <c r="D356" s="3">
        <v>9.1600000000000004E-5</v>
      </c>
      <c r="E356" s="7">
        <v>21.56</v>
      </c>
      <c r="F356" s="7">
        <v>8.0399999999999991</v>
      </c>
      <c r="G356" s="2" t="s">
        <v>122</v>
      </c>
      <c r="H356" s="2" t="s">
        <v>123</v>
      </c>
    </row>
    <row r="357" spans="1:8" s="1" customFormat="1" ht="13.8" x14ac:dyDescent="0.25">
      <c r="A357" s="6" t="s">
        <v>140</v>
      </c>
      <c r="B357" s="7">
        <v>2.69</v>
      </c>
      <c r="C357" s="7">
        <v>1.4276061727818994</v>
      </c>
      <c r="D357" s="3">
        <v>8.7000000000000001E-5</v>
      </c>
      <c r="E357" s="7">
        <v>21.61</v>
      </c>
      <c r="F357" s="7">
        <v>8.0299999999999994</v>
      </c>
      <c r="G357" s="2" t="s">
        <v>141</v>
      </c>
      <c r="H357" s="2" t="s">
        <v>142</v>
      </c>
    </row>
    <row r="358" spans="1:8" s="1" customFormat="1" ht="13.8" x14ac:dyDescent="0.25">
      <c r="A358" s="6" t="s">
        <v>12</v>
      </c>
      <c r="B358" s="7">
        <v>2.7</v>
      </c>
      <c r="C358" s="7">
        <v>1.4329594072761063</v>
      </c>
      <c r="D358" s="3">
        <v>0</v>
      </c>
      <c r="E358" s="7">
        <v>675.58</v>
      </c>
      <c r="F358" s="7">
        <v>249.76</v>
      </c>
      <c r="G358" s="2" t="s">
        <v>13</v>
      </c>
      <c r="H358" s="2" t="s">
        <v>14</v>
      </c>
    </row>
    <row r="359" spans="1:8" s="1" customFormat="1" ht="13.8" x14ac:dyDescent="0.25">
      <c r="A359" s="6" t="s">
        <v>173</v>
      </c>
      <c r="B359" s="7">
        <v>2.71</v>
      </c>
      <c r="C359" s="7">
        <v>1.4382928515791469</v>
      </c>
      <c r="D359" s="3">
        <v>4.4299999999999998E-7</v>
      </c>
      <c r="E359" s="7">
        <v>33.590000000000003</v>
      </c>
      <c r="F359" s="7">
        <v>12.4</v>
      </c>
      <c r="G359" s="2" t="s">
        <v>7</v>
      </c>
      <c r="H359" s="2" t="s">
        <v>173</v>
      </c>
    </row>
    <row r="360" spans="1:8" s="1" customFormat="1" ht="13.8" x14ac:dyDescent="0.25">
      <c r="A360" s="6" t="s">
        <v>403</v>
      </c>
      <c r="B360" s="7">
        <v>2.71</v>
      </c>
      <c r="C360" s="7">
        <v>1.4382928515791469</v>
      </c>
      <c r="D360" s="3">
        <v>0</v>
      </c>
      <c r="E360" s="7">
        <v>660.71</v>
      </c>
      <c r="F360" s="7">
        <v>243.87</v>
      </c>
      <c r="G360" s="2" t="s">
        <v>404</v>
      </c>
      <c r="H360" s="2" t="s">
        <v>405</v>
      </c>
    </row>
    <row r="361" spans="1:8" s="1" customFormat="1" ht="13.8" x14ac:dyDescent="0.25">
      <c r="A361" s="6" t="s">
        <v>1228</v>
      </c>
      <c r="B361" s="7">
        <v>2.73</v>
      </c>
      <c r="C361" s="7">
        <v>1.4489009511451278</v>
      </c>
      <c r="D361" s="3">
        <v>0</v>
      </c>
      <c r="E361" s="7">
        <v>226.19</v>
      </c>
      <c r="F361" s="7">
        <v>82.87</v>
      </c>
      <c r="G361" s="2" t="s">
        <v>1229</v>
      </c>
      <c r="H361" s="2" t="s">
        <v>1230</v>
      </c>
    </row>
    <row r="362" spans="1:8" s="1" customFormat="1" ht="13.8" x14ac:dyDescent="0.25">
      <c r="A362" s="6" t="s">
        <v>334</v>
      </c>
      <c r="B362" s="7">
        <v>2.73</v>
      </c>
      <c r="C362" s="7">
        <v>1.4489009511451278</v>
      </c>
      <c r="D362" s="3">
        <v>0</v>
      </c>
      <c r="E362" s="7">
        <v>776.78</v>
      </c>
      <c r="F362" s="7">
        <v>284.22000000000003</v>
      </c>
      <c r="G362" s="2" t="s">
        <v>335</v>
      </c>
      <c r="H362" s="2" t="s">
        <v>336</v>
      </c>
    </row>
    <row r="363" spans="1:8" s="1" customFormat="1" ht="13.8" x14ac:dyDescent="0.25">
      <c r="A363" s="6" t="s">
        <v>1266</v>
      </c>
      <c r="B363" s="7">
        <v>2.74</v>
      </c>
      <c r="C363" s="7">
        <v>1.4541758931858022</v>
      </c>
      <c r="D363" s="3">
        <v>4.6699999999999999E-7</v>
      </c>
      <c r="E363" s="7">
        <v>32.85</v>
      </c>
      <c r="F363" s="7">
        <v>11.97</v>
      </c>
      <c r="G363" s="2" t="s">
        <v>1267</v>
      </c>
      <c r="H363" s="2" t="s">
        <v>1268</v>
      </c>
    </row>
    <row r="364" spans="1:8" s="1" customFormat="1" ht="13.8" x14ac:dyDescent="0.25">
      <c r="A364" s="6" t="s">
        <v>1250</v>
      </c>
      <c r="B364" s="7">
        <v>2.75</v>
      </c>
      <c r="C364" s="7">
        <v>1.4594316186372973</v>
      </c>
      <c r="D364" s="3">
        <v>0</v>
      </c>
      <c r="E364" s="7">
        <v>79.150000000000006</v>
      </c>
      <c r="F364" s="7">
        <v>28.83</v>
      </c>
      <c r="G364" s="2" t="s">
        <v>939</v>
      </c>
      <c r="H364" s="2" t="s">
        <v>1251</v>
      </c>
    </row>
    <row r="365" spans="1:8" s="1" customFormat="1" ht="13.8" x14ac:dyDescent="0.25">
      <c r="A365" s="6" t="s">
        <v>756</v>
      </c>
      <c r="B365" s="7">
        <v>2.75</v>
      </c>
      <c r="C365" s="7">
        <v>1.4594316186372973</v>
      </c>
      <c r="D365" s="3">
        <v>0</v>
      </c>
      <c r="E365" s="7">
        <v>889.04</v>
      </c>
      <c r="F365" s="7">
        <v>323.39999999999998</v>
      </c>
      <c r="G365" s="2" t="s">
        <v>757</v>
      </c>
      <c r="H365" s="2" t="s">
        <v>758</v>
      </c>
    </row>
    <row r="366" spans="1:8" s="1" customFormat="1" ht="13.8" x14ac:dyDescent="0.25">
      <c r="A366" s="6" t="s">
        <v>1372</v>
      </c>
      <c r="B366" s="7">
        <v>2.75</v>
      </c>
      <c r="C366" s="7">
        <v>1.4594316186372973</v>
      </c>
      <c r="D366" s="3">
        <v>0</v>
      </c>
      <c r="E366" s="7">
        <v>1372.65</v>
      </c>
      <c r="F366" s="7">
        <v>498.43</v>
      </c>
      <c r="G366" s="2" t="s">
        <v>1373</v>
      </c>
      <c r="H366" s="2" t="s">
        <v>1374</v>
      </c>
    </row>
    <row r="367" spans="1:8" s="1" customFormat="1" ht="13.8" x14ac:dyDescent="0.25">
      <c r="A367" s="6" t="s">
        <v>1252</v>
      </c>
      <c r="B367" s="7">
        <v>2.76</v>
      </c>
      <c r="C367" s="7">
        <v>1.4646682670034441</v>
      </c>
      <c r="D367" s="3">
        <v>7.9900000000000003E-11</v>
      </c>
      <c r="E367" s="7">
        <v>77.099999999999994</v>
      </c>
      <c r="F367" s="7">
        <v>27.96</v>
      </c>
      <c r="G367" s="2" t="s">
        <v>36</v>
      </c>
      <c r="H367" s="2" t="s">
        <v>1253</v>
      </c>
    </row>
    <row r="368" spans="1:8" s="1" customFormat="1" ht="13.8" x14ac:dyDescent="0.25">
      <c r="A368" s="6" t="s">
        <v>414</v>
      </c>
      <c r="B368" s="7">
        <v>2.77</v>
      </c>
      <c r="C368" s="7">
        <v>1.4698859762744638</v>
      </c>
      <c r="D368" s="3">
        <v>0</v>
      </c>
      <c r="E368" s="7">
        <v>3971.37</v>
      </c>
      <c r="F368" s="7">
        <v>1433.12</v>
      </c>
      <c r="G368" s="2" t="s">
        <v>415</v>
      </c>
      <c r="H368" s="2" t="s">
        <v>416</v>
      </c>
    </row>
    <row r="369" spans="1:8" s="1" customFormat="1" ht="13.8" x14ac:dyDescent="0.25">
      <c r="A369" s="6" t="s">
        <v>73</v>
      </c>
      <c r="B369" s="7">
        <v>2.77</v>
      </c>
      <c r="C369" s="7">
        <v>1.4698859762744638</v>
      </c>
      <c r="D369" s="3">
        <v>0</v>
      </c>
      <c r="E369" s="7">
        <v>149.33000000000001</v>
      </c>
      <c r="F369" s="7">
        <v>53.84</v>
      </c>
      <c r="G369" s="2" t="s">
        <v>74</v>
      </c>
      <c r="H369" s="2" t="s">
        <v>75</v>
      </c>
    </row>
    <row r="370" spans="1:8" s="1" customFormat="1" ht="13.8" x14ac:dyDescent="0.25">
      <c r="A370" s="6" t="s">
        <v>1131</v>
      </c>
      <c r="B370" s="7">
        <v>2.79</v>
      </c>
      <c r="C370" s="7">
        <v>1.4802651220544629</v>
      </c>
      <c r="D370" s="3">
        <v>0</v>
      </c>
      <c r="E370" s="7">
        <v>91.71</v>
      </c>
      <c r="F370" s="7">
        <v>32.869999999999997</v>
      </c>
      <c r="G370" s="2" t="s">
        <v>1132</v>
      </c>
      <c r="H370" s="2" t="s">
        <v>1133</v>
      </c>
    </row>
    <row r="371" spans="1:8" s="1" customFormat="1" ht="13.8" x14ac:dyDescent="0.25">
      <c r="A371" s="6" t="s">
        <v>1220</v>
      </c>
      <c r="B371" s="7">
        <v>2.79</v>
      </c>
      <c r="C371" s="7">
        <v>1.4802651220544629</v>
      </c>
      <c r="D371" s="3">
        <v>6.2799999999999998E-9</v>
      </c>
      <c r="E371" s="7">
        <v>41.57</v>
      </c>
      <c r="F371" s="7">
        <v>14.88</v>
      </c>
      <c r="G371" s="2" t="s">
        <v>36</v>
      </c>
      <c r="H371" s="2" t="s">
        <v>1221</v>
      </c>
    </row>
    <row r="372" spans="1:8" s="1" customFormat="1" ht="13.8" x14ac:dyDescent="0.25">
      <c r="A372" s="6" t="s">
        <v>774</v>
      </c>
      <c r="B372" s="7">
        <v>2.8</v>
      </c>
      <c r="C372" s="7">
        <v>1.4854268271702415</v>
      </c>
      <c r="D372" s="3">
        <v>1.13E-8</v>
      </c>
      <c r="E372" s="7">
        <v>201.79</v>
      </c>
      <c r="F372" s="7">
        <v>72.08</v>
      </c>
      <c r="G372" s="2" t="s">
        <v>775</v>
      </c>
      <c r="H372" s="2" t="s">
        <v>776</v>
      </c>
    </row>
    <row r="373" spans="1:8" s="1" customFormat="1" ht="13.8" x14ac:dyDescent="0.25">
      <c r="A373" s="6" t="s">
        <v>160</v>
      </c>
      <c r="B373" s="7">
        <v>2.81</v>
      </c>
      <c r="C373" s="7">
        <v>1.4905701304462016</v>
      </c>
      <c r="D373" s="3">
        <v>2.5099999999999998E-14</v>
      </c>
      <c r="E373" s="7">
        <v>68.47</v>
      </c>
      <c r="F373" s="7">
        <v>24.35</v>
      </c>
      <c r="G373" s="2" t="s">
        <v>161</v>
      </c>
      <c r="H373" s="2" t="s">
        <v>162</v>
      </c>
    </row>
    <row r="374" spans="1:8" s="1" customFormat="1" ht="13.8" x14ac:dyDescent="0.25">
      <c r="A374" s="6" t="s">
        <v>1227</v>
      </c>
      <c r="B374" s="7">
        <v>2.82</v>
      </c>
      <c r="C374" s="7">
        <v>1.4956951626240689</v>
      </c>
      <c r="D374" s="3">
        <v>0</v>
      </c>
      <c r="E374" s="7">
        <v>86.42</v>
      </c>
      <c r="F374" s="7">
        <v>30.67</v>
      </c>
      <c r="G374" s="2" t="s">
        <v>7</v>
      </c>
      <c r="H374" s="2" t="s">
        <v>1227</v>
      </c>
    </row>
    <row r="375" spans="1:8" s="1" customFormat="1" ht="13.8" x14ac:dyDescent="0.25">
      <c r="A375" s="6" t="s">
        <v>268</v>
      </c>
      <c r="B375" s="7">
        <v>2.82</v>
      </c>
      <c r="C375" s="7">
        <v>1.4956951626240689</v>
      </c>
      <c r="D375" s="3">
        <v>0</v>
      </c>
      <c r="E375" s="7">
        <v>289.83</v>
      </c>
      <c r="F375" s="7">
        <v>102.67</v>
      </c>
      <c r="G375" s="2" t="s">
        <v>269</v>
      </c>
      <c r="H375" s="2" t="s">
        <v>270</v>
      </c>
    </row>
    <row r="376" spans="1:8" s="1" customFormat="1" ht="13.8" x14ac:dyDescent="0.25">
      <c r="A376" s="6" t="s">
        <v>1191</v>
      </c>
      <c r="B376" s="7">
        <v>2.83</v>
      </c>
      <c r="C376" s="7">
        <v>1.5008020530571577</v>
      </c>
      <c r="D376" s="3">
        <v>0</v>
      </c>
      <c r="E376" s="7">
        <v>266.36</v>
      </c>
      <c r="F376" s="7">
        <v>94.25</v>
      </c>
      <c r="G376" s="2" t="s">
        <v>1192</v>
      </c>
      <c r="H376" s="2" t="s">
        <v>1193</v>
      </c>
    </row>
    <row r="377" spans="1:8" s="1" customFormat="1" ht="13.8" x14ac:dyDescent="0.25">
      <c r="A377" s="6" t="s">
        <v>186</v>
      </c>
      <c r="B377" s="7">
        <v>2.84</v>
      </c>
      <c r="C377" s="7">
        <v>1.5058909297299574</v>
      </c>
      <c r="D377" s="3">
        <v>0</v>
      </c>
      <c r="E377" s="7">
        <v>928.45</v>
      </c>
      <c r="F377" s="7">
        <v>326.54000000000002</v>
      </c>
      <c r="G377" s="2" t="s">
        <v>187</v>
      </c>
      <c r="H377" s="2" t="s">
        <v>188</v>
      </c>
    </row>
    <row r="378" spans="1:8" s="1" customFormat="1" ht="13.8" x14ac:dyDescent="0.25">
      <c r="A378" s="6" t="s">
        <v>106</v>
      </c>
      <c r="B378" s="7">
        <v>2.86</v>
      </c>
      <c r="C378" s="7">
        <v>1.5160151470036647</v>
      </c>
      <c r="D378" s="3">
        <v>0</v>
      </c>
      <c r="E378" s="7">
        <v>199.18</v>
      </c>
      <c r="F378" s="7">
        <v>69.61</v>
      </c>
      <c r="G378" s="2" t="s">
        <v>107</v>
      </c>
      <c r="H378" s="2" t="s">
        <v>108</v>
      </c>
    </row>
    <row r="379" spans="1:8" s="1" customFormat="1" ht="13.8" x14ac:dyDescent="0.25">
      <c r="A379" s="6" t="s">
        <v>20</v>
      </c>
      <c r="B379" s="7">
        <v>2.86</v>
      </c>
      <c r="C379" s="7">
        <v>1.5160151470036647</v>
      </c>
      <c r="D379" s="3">
        <v>0</v>
      </c>
      <c r="E379" s="7">
        <v>715.74</v>
      </c>
      <c r="F379" s="7">
        <v>250.07</v>
      </c>
      <c r="G379" s="2" t="s">
        <v>7</v>
      </c>
      <c r="H379" s="2" t="s">
        <v>20</v>
      </c>
    </row>
    <row r="380" spans="1:8" s="1" customFormat="1" ht="13.8" x14ac:dyDescent="0.25">
      <c r="A380" s="6" t="s">
        <v>580</v>
      </c>
      <c r="B380" s="7">
        <v>2.88</v>
      </c>
      <c r="C380" s="7">
        <v>1.5260688116675876</v>
      </c>
      <c r="D380" s="3">
        <v>0</v>
      </c>
      <c r="E380" s="7">
        <v>820.04</v>
      </c>
      <c r="F380" s="7">
        <v>284.29000000000002</v>
      </c>
      <c r="G380" s="2" t="s">
        <v>581</v>
      </c>
      <c r="H380" s="2" t="s">
        <v>582</v>
      </c>
    </row>
    <row r="381" spans="1:8" s="1" customFormat="1" ht="13.8" x14ac:dyDescent="0.25">
      <c r="A381" s="6" t="s">
        <v>374</v>
      </c>
      <c r="B381" s="7">
        <v>2.89</v>
      </c>
      <c r="C381" s="7">
        <v>1.5310694927259541</v>
      </c>
      <c r="D381" s="3">
        <v>0</v>
      </c>
      <c r="E381" s="7">
        <v>155.6</v>
      </c>
      <c r="F381" s="7">
        <v>53.92</v>
      </c>
      <c r="G381" s="2" t="s">
        <v>375</v>
      </c>
      <c r="H381" s="2" t="s">
        <v>376</v>
      </c>
    </row>
    <row r="382" spans="1:8" s="1" customFormat="1" ht="13.8" x14ac:dyDescent="0.25">
      <c r="A382" s="6" t="s">
        <v>201</v>
      </c>
      <c r="B382" s="7">
        <v>2.9</v>
      </c>
      <c r="C382" s="7">
        <v>1.5360529002402097</v>
      </c>
      <c r="D382" s="3">
        <v>1.1200000000000001E-11</v>
      </c>
      <c r="E382" s="7">
        <v>52.79</v>
      </c>
      <c r="F382" s="7">
        <v>18.190000000000001</v>
      </c>
      <c r="G382" s="2" t="s">
        <v>202</v>
      </c>
      <c r="H382" s="2" t="s">
        <v>203</v>
      </c>
    </row>
    <row r="383" spans="1:8" s="1" customFormat="1" ht="13.8" x14ac:dyDescent="0.25">
      <c r="A383" s="6" t="s">
        <v>1137</v>
      </c>
      <c r="B383" s="7">
        <v>2.9</v>
      </c>
      <c r="C383" s="7">
        <v>1.5360529002402097</v>
      </c>
      <c r="D383" s="3">
        <v>0</v>
      </c>
      <c r="E383" s="7">
        <v>149.51</v>
      </c>
      <c r="F383" s="7">
        <v>51.48</v>
      </c>
      <c r="G383" s="2" t="s">
        <v>36</v>
      </c>
      <c r="H383" s="2" t="s">
        <v>1137</v>
      </c>
    </row>
    <row r="384" spans="1:8" s="1" customFormat="1" ht="13.8" x14ac:dyDescent="0.25">
      <c r="A384" s="6" t="s">
        <v>278</v>
      </c>
      <c r="B384" s="7">
        <v>2.92</v>
      </c>
      <c r="C384" s="7">
        <v>1.5459683691052926</v>
      </c>
      <c r="D384" s="3">
        <v>5.4099999999999999E-7</v>
      </c>
      <c r="E384" s="7">
        <v>68.87</v>
      </c>
      <c r="F384" s="7">
        <v>23.61</v>
      </c>
      <c r="G384" s="2" t="s">
        <v>36</v>
      </c>
      <c r="H384" s="2" t="s">
        <v>279</v>
      </c>
    </row>
    <row r="385" spans="1:8" s="1" customFormat="1" ht="13.8" x14ac:dyDescent="0.25">
      <c r="A385" s="6" t="s">
        <v>131</v>
      </c>
      <c r="B385" s="7">
        <v>2.92</v>
      </c>
      <c r="C385" s="7">
        <v>1.5459683691052926</v>
      </c>
      <c r="D385" s="3">
        <v>1.09E-13</v>
      </c>
      <c r="E385" s="7">
        <v>61.97</v>
      </c>
      <c r="F385" s="7">
        <v>21.22</v>
      </c>
      <c r="G385" s="2" t="s">
        <v>132</v>
      </c>
      <c r="H385" s="2" t="s">
        <v>133</v>
      </c>
    </row>
    <row r="386" spans="1:8" s="1" customFormat="1" ht="13.8" x14ac:dyDescent="0.25">
      <c r="A386" s="6" t="s">
        <v>673</v>
      </c>
      <c r="B386" s="7">
        <v>2.94</v>
      </c>
      <c r="C386" s="7">
        <v>1.5558161550616398</v>
      </c>
      <c r="D386" s="3">
        <v>2.6699999999999998E-4</v>
      </c>
      <c r="E386" s="7">
        <v>21.48</v>
      </c>
      <c r="F386" s="7">
        <v>7.31</v>
      </c>
      <c r="G386" s="2" t="s">
        <v>7</v>
      </c>
      <c r="H386" s="2" t="s">
        <v>673</v>
      </c>
    </row>
    <row r="387" spans="1:8" s="1" customFormat="1" ht="13.8" x14ac:dyDescent="0.25">
      <c r="A387" s="6" t="s">
        <v>61</v>
      </c>
      <c r="B387" s="7">
        <v>2.94</v>
      </c>
      <c r="C387" s="7">
        <v>1.5558161550616398</v>
      </c>
      <c r="D387" s="3">
        <v>0</v>
      </c>
      <c r="E387" s="7">
        <v>132.03</v>
      </c>
      <c r="F387" s="7">
        <v>44.9</v>
      </c>
      <c r="G387" s="2" t="s">
        <v>62</v>
      </c>
      <c r="H387" s="2" t="s">
        <v>63</v>
      </c>
    </row>
    <row r="388" spans="1:8" s="1" customFormat="1" ht="13.8" x14ac:dyDescent="0.25">
      <c r="A388" s="6" t="s">
        <v>666</v>
      </c>
      <c r="B388" s="7">
        <v>2.99</v>
      </c>
      <c r="C388" s="7">
        <v>1.5801454844233804</v>
      </c>
      <c r="D388" s="3">
        <v>1.9499999999999999E-8</v>
      </c>
      <c r="E388" s="7">
        <v>230.69</v>
      </c>
      <c r="F388" s="7">
        <v>77.14</v>
      </c>
      <c r="G388" s="2" t="s">
        <v>255</v>
      </c>
      <c r="H388" s="2" t="s">
        <v>667</v>
      </c>
    </row>
    <row r="389" spans="1:8" s="1" customFormat="1" ht="13.8" x14ac:dyDescent="0.25">
      <c r="A389" s="6" t="s">
        <v>629</v>
      </c>
      <c r="B389" s="7">
        <v>2.99</v>
      </c>
      <c r="C389" s="7">
        <v>1.5801454844233804</v>
      </c>
      <c r="D389" s="3">
        <v>0</v>
      </c>
      <c r="E389" s="7">
        <v>522.47</v>
      </c>
      <c r="F389" s="7">
        <v>174.6</v>
      </c>
      <c r="G389" s="2" t="s">
        <v>630</v>
      </c>
      <c r="H389" s="2" t="s">
        <v>631</v>
      </c>
    </row>
    <row r="390" spans="1:8" s="1" customFormat="1" ht="13.8" x14ac:dyDescent="0.25">
      <c r="A390" s="6" t="s">
        <v>1375</v>
      </c>
      <c r="B390" s="7">
        <v>3</v>
      </c>
      <c r="C390" s="7">
        <v>1.5849625007211563</v>
      </c>
      <c r="D390" s="3">
        <v>0</v>
      </c>
      <c r="E390" s="7">
        <v>275.58999999999997</v>
      </c>
      <c r="F390" s="7">
        <v>91.75</v>
      </c>
      <c r="G390" s="2" t="s">
        <v>127</v>
      </c>
      <c r="H390" s="2" t="s">
        <v>1376</v>
      </c>
    </row>
    <row r="391" spans="1:8" s="1" customFormat="1" ht="13.8" x14ac:dyDescent="0.25">
      <c r="A391" s="6" t="s">
        <v>1186</v>
      </c>
      <c r="B391" s="7">
        <v>3.02</v>
      </c>
      <c r="C391" s="7">
        <v>1.5945485495503544</v>
      </c>
      <c r="D391" s="3">
        <v>4.9599999999999998E-14</v>
      </c>
      <c r="E391" s="7">
        <v>61.13</v>
      </c>
      <c r="F391" s="7">
        <v>20.27</v>
      </c>
      <c r="G391" s="2" t="s">
        <v>155</v>
      </c>
      <c r="H391" s="2" t="s">
        <v>1187</v>
      </c>
    </row>
    <row r="392" spans="1:8" s="1" customFormat="1" ht="13.8" x14ac:dyDescent="0.25">
      <c r="A392" s="6" t="s">
        <v>274</v>
      </c>
      <c r="B392" s="7">
        <v>3.02</v>
      </c>
      <c r="C392" s="7">
        <v>1.5945485495503544</v>
      </c>
      <c r="D392" s="3">
        <v>3.0800000000000002E-10</v>
      </c>
      <c r="E392" s="7">
        <v>43.54</v>
      </c>
      <c r="F392" s="7">
        <v>14.41</v>
      </c>
      <c r="G392" s="2" t="s">
        <v>7</v>
      </c>
      <c r="H392" s="2" t="s">
        <v>274</v>
      </c>
    </row>
    <row r="393" spans="1:8" s="1" customFormat="1" ht="13.8" x14ac:dyDescent="0.25">
      <c r="A393" s="6" t="s">
        <v>1223</v>
      </c>
      <c r="B393" s="7">
        <v>3.04</v>
      </c>
      <c r="C393" s="7">
        <v>1.6040713236688608</v>
      </c>
      <c r="D393" s="3">
        <v>4.5900000000000001E-8</v>
      </c>
      <c r="E393" s="7">
        <v>33.270000000000003</v>
      </c>
      <c r="F393" s="7">
        <v>10.94</v>
      </c>
      <c r="G393" s="2" t="s">
        <v>7</v>
      </c>
      <c r="H393" s="2" t="s">
        <v>1223</v>
      </c>
    </row>
    <row r="394" spans="1:8" s="1" customFormat="1" ht="13.8" x14ac:dyDescent="0.25">
      <c r="A394" s="6" t="s">
        <v>1377</v>
      </c>
      <c r="B394" s="7">
        <v>3.08</v>
      </c>
      <c r="C394" s="7">
        <v>1.6229303509201767</v>
      </c>
      <c r="D394" s="3">
        <v>5.0099999999999998E-5</v>
      </c>
      <c r="E394" s="7">
        <v>19.18</v>
      </c>
      <c r="F394" s="7">
        <v>6.24</v>
      </c>
      <c r="G394" s="2" t="s">
        <v>7</v>
      </c>
      <c r="H394" s="2" t="s">
        <v>1377</v>
      </c>
    </row>
    <row r="395" spans="1:8" s="1" customFormat="1" ht="13.8" x14ac:dyDescent="0.25">
      <c r="A395" s="6" t="s">
        <v>109</v>
      </c>
      <c r="B395" s="7">
        <v>3.1</v>
      </c>
      <c r="C395" s="7">
        <v>1.632268215499513</v>
      </c>
      <c r="D395" s="3">
        <v>4.1300000000000001E-4</v>
      </c>
      <c r="E395" s="7">
        <v>14.86</v>
      </c>
      <c r="F395" s="7">
        <v>4.79</v>
      </c>
      <c r="G395" s="2" t="s">
        <v>110</v>
      </c>
      <c r="H395" s="2" t="s">
        <v>111</v>
      </c>
    </row>
    <row r="396" spans="1:8" s="1" customFormat="1" ht="13.8" x14ac:dyDescent="0.25">
      <c r="A396" s="6" t="s">
        <v>154</v>
      </c>
      <c r="B396" s="7">
        <v>3.14</v>
      </c>
      <c r="C396" s="7">
        <v>1.6507645591169022</v>
      </c>
      <c r="D396" s="3">
        <v>5.5400000000000001E-7</v>
      </c>
      <c r="E396" s="7">
        <v>27.25</v>
      </c>
      <c r="F396" s="7">
        <v>8.67</v>
      </c>
      <c r="G396" s="2" t="s">
        <v>155</v>
      </c>
      <c r="H396" s="2" t="s">
        <v>156</v>
      </c>
    </row>
    <row r="397" spans="1:8" s="1" customFormat="1" ht="13.8" x14ac:dyDescent="0.25">
      <c r="A397" s="6" t="s">
        <v>1378</v>
      </c>
      <c r="B397" s="7">
        <v>3.17</v>
      </c>
      <c r="C397" s="7">
        <v>1.6644828403646825</v>
      </c>
      <c r="D397" s="3">
        <v>0</v>
      </c>
      <c r="E397" s="7">
        <v>139.78</v>
      </c>
      <c r="F397" s="7">
        <v>44.05</v>
      </c>
      <c r="G397" s="2" t="s">
        <v>311</v>
      </c>
      <c r="H397" s="2" t="s">
        <v>1379</v>
      </c>
    </row>
    <row r="398" spans="1:8" s="1" customFormat="1" ht="13.8" x14ac:dyDescent="0.25">
      <c r="A398" s="6" t="s">
        <v>1380</v>
      </c>
      <c r="B398" s="7">
        <v>3.19</v>
      </c>
      <c r="C398" s="7">
        <v>1.6735564239901448</v>
      </c>
      <c r="D398" s="3">
        <v>0</v>
      </c>
      <c r="E398" s="7">
        <v>169.56</v>
      </c>
      <c r="F398" s="7">
        <v>53.21</v>
      </c>
      <c r="G398" s="2" t="s">
        <v>7</v>
      </c>
      <c r="H398" s="2" t="s">
        <v>1380</v>
      </c>
    </row>
    <row r="399" spans="1:8" s="1" customFormat="1" ht="13.8" x14ac:dyDescent="0.25">
      <c r="A399" s="6" t="s">
        <v>44</v>
      </c>
      <c r="B399" s="7">
        <v>3.21</v>
      </c>
      <c r="C399" s="7">
        <v>1.6825732973475784</v>
      </c>
      <c r="D399" s="3">
        <v>0</v>
      </c>
      <c r="E399" s="7">
        <v>256.82</v>
      </c>
      <c r="F399" s="7">
        <v>80.09</v>
      </c>
      <c r="G399" s="2" t="s">
        <v>45</v>
      </c>
      <c r="H399" s="2" t="s">
        <v>46</v>
      </c>
    </row>
    <row r="400" spans="1:8" s="1" customFormat="1" ht="13.8" x14ac:dyDescent="0.25">
      <c r="A400" s="6" t="s">
        <v>1269</v>
      </c>
      <c r="B400" s="7">
        <v>3.23</v>
      </c>
      <c r="C400" s="7">
        <v>1.6915341649192002</v>
      </c>
      <c r="D400" s="3">
        <v>1.5800000000000001E-7</v>
      </c>
      <c r="E400" s="7">
        <v>70.05</v>
      </c>
      <c r="F400" s="7">
        <v>21.69</v>
      </c>
      <c r="G400" s="2" t="s">
        <v>36</v>
      </c>
      <c r="H400" s="2" t="s">
        <v>1270</v>
      </c>
    </row>
    <row r="401" spans="1:8" s="1" customFormat="1" ht="13.8" x14ac:dyDescent="0.25">
      <c r="A401" s="6" t="s">
        <v>447</v>
      </c>
      <c r="B401" s="7">
        <v>3.24</v>
      </c>
      <c r="C401" s="7">
        <v>1.6959938131099002</v>
      </c>
      <c r="D401" s="3">
        <v>0</v>
      </c>
      <c r="E401" s="7">
        <v>555.03</v>
      </c>
      <c r="F401" s="7">
        <v>171.13</v>
      </c>
      <c r="G401" s="2" t="s">
        <v>448</v>
      </c>
      <c r="H401" s="2" t="s">
        <v>449</v>
      </c>
    </row>
    <row r="402" spans="1:8" s="1" customFormat="1" ht="13.8" x14ac:dyDescent="0.25">
      <c r="A402" s="6" t="s">
        <v>289</v>
      </c>
      <c r="B402" s="7">
        <v>3.25</v>
      </c>
      <c r="C402" s="7">
        <v>1.7004397181410922</v>
      </c>
      <c r="D402" s="3">
        <v>0</v>
      </c>
      <c r="E402" s="7">
        <v>272.42</v>
      </c>
      <c r="F402" s="7">
        <v>83.78</v>
      </c>
      <c r="G402" s="2" t="s">
        <v>290</v>
      </c>
      <c r="H402" s="2" t="s">
        <v>291</v>
      </c>
    </row>
    <row r="403" spans="1:8" s="1" customFormat="1" ht="13.8" x14ac:dyDescent="0.25">
      <c r="A403" s="6" t="s">
        <v>1263</v>
      </c>
      <c r="B403" s="7">
        <v>3.26</v>
      </c>
      <c r="C403" s="7">
        <v>1.7048719644563528</v>
      </c>
      <c r="D403" s="3">
        <v>0</v>
      </c>
      <c r="E403" s="7">
        <v>66.59</v>
      </c>
      <c r="F403" s="7">
        <v>20.45</v>
      </c>
      <c r="G403" s="2" t="s">
        <v>1264</v>
      </c>
      <c r="H403" s="2" t="s">
        <v>1265</v>
      </c>
    </row>
    <row r="404" spans="1:8" s="1" customFormat="1" ht="13.8" x14ac:dyDescent="0.25">
      <c r="A404" s="6" t="s">
        <v>1157</v>
      </c>
      <c r="B404" s="7">
        <v>3.3</v>
      </c>
      <c r="C404" s="7">
        <v>1.7224660244710912</v>
      </c>
      <c r="D404" s="3">
        <v>0</v>
      </c>
      <c r="E404" s="7">
        <v>643.48</v>
      </c>
      <c r="F404" s="7">
        <v>195.03</v>
      </c>
      <c r="G404" s="2" t="s">
        <v>1158</v>
      </c>
      <c r="H404" s="2" t="s">
        <v>1159</v>
      </c>
    </row>
    <row r="405" spans="1:8" s="1" customFormat="1" ht="13.8" x14ac:dyDescent="0.25">
      <c r="A405" s="6" t="s">
        <v>435</v>
      </c>
      <c r="B405" s="7">
        <v>3.31</v>
      </c>
      <c r="C405" s="7">
        <v>1.7268312170324931</v>
      </c>
      <c r="D405" s="3">
        <v>1.67E-9</v>
      </c>
      <c r="E405" s="7">
        <v>36.18</v>
      </c>
      <c r="F405" s="7">
        <v>10.94</v>
      </c>
      <c r="G405" s="2" t="s">
        <v>436</v>
      </c>
      <c r="H405" s="2" t="s">
        <v>437</v>
      </c>
    </row>
    <row r="406" spans="1:8" s="1" customFormat="1" ht="13.8" x14ac:dyDescent="0.25">
      <c r="A406" s="6" t="s">
        <v>1274</v>
      </c>
      <c r="B406" s="7">
        <v>3.31</v>
      </c>
      <c r="C406" s="7">
        <v>1.7268312170324931</v>
      </c>
      <c r="D406" s="3">
        <v>0</v>
      </c>
      <c r="E406" s="7">
        <v>125.11</v>
      </c>
      <c r="F406" s="7">
        <v>37.74</v>
      </c>
      <c r="G406" s="2" t="s">
        <v>962</v>
      </c>
      <c r="H406" s="2" t="s">
        <v>1275</v>
      </c>
    </row>
    <row r="407" spans="1:8" s="1" customFormat="1" ht="13.8" x14ac:dyDescent="0.25">
      <c r="A407" s="6" t="s">
        <v>157</v>
      </c>
      <c r="B407" s="7">
        <v>3.32</v>
      </c>
      <c r="C407" s="7">
        <v>1.7311832415721999</v>
      </c>
      <c r="D407" s="3">
        <v>0</v>
      </c>
      <c r="E407" s="7">
        <v>836.15</v>
      </c>
      <c r="F407" s="7">
        <v>251.54</v>
      </c>
      <c r="G407" s="2" t="s">
        <v>158</v>
      </c>
      <c r="H407" s="2" t="s">
        <v>159</v>
      </c>
    </row>
    <row r="408" spans="1:8" s="1" customFormat="1" ht="13.8" x14ac:dyDescent="0.25">
      <c r="A408" s="6" t="s">
        <v>1257</v>
      </c>
      <c r="B408" s="7">
        <v>3.34</v>
      </c>
      <c r="C408" s="7">
        <v>1.7398481026993275</v>
      </c>
      <c r="D408" s="3">
        <v>0</v>
      </c>
      <c r="E408" s="7">
        <v>373.14</v>
      </c>
      <c r="F408" s="7">
        <v>111.64</v>
      </c>
      <c r="G408" s="2" t="s">
        <v>1258</v>
      </c>
      <c r="H408" s="2" t="s">
        <v>1259</v>
      </c>
    </row>
    <row r="409" spans="1:8" s="1" customFormat="1" ht="13.8" x14ac:dyDescent="0.25">
      <c r="A409" s="6" t="s">
        <v>377</v>
      </c>
      <c r="B409" s="7">
        <v>3.36</v>
      </c>
      <c r="C409" s="7">
        <v>1.7484612330040357</v>
      </c>
      <c r="D409" s="3">
        <v>0</v>
      </c>
      <c r="E409" s="7">
        <v>458.14</v>
      </c>
      <c r="F409" s="7">
        <v>136.34</v>
      </c>
      <c r="G409" s="2" t="s">
        <v>378</v>
      </c>
      <c r="H409" s="2" t="s">
        <v>379</v>
      </c>
    </row>
    <row r="410" spans="1:8" s="1" customFormat="1" ht="13.8" x14ac:dyDescent="0.25">
      <c r="A410" s="6" t="s">
        <v>211</v>
      </c>
      <c r="B410" s="7">
        <v>3.37</v>
      </c>
      <c r="C410" s="7">
        <v>1.7527485914071339</v>
      </c>
      <c r="D410" s="3">
        <v>0</v>
      </c>
      <c r="E410" s="7">
        <v>251.51</v>
      </c>
      <c r="F410" s="7">
        <v>74.680000000000007</v>
      </c>
      <c r="G410" s="2" t="s">
        <v>212</v>
      </c>
      <c r="H410" s="2" t="s">
        <v>213</v>
      </c>
    </row>
    <row r="411" spans="1:8" s="1" customFormat="1" ht="13.8" x14ac:dyDescent="0.25">
      <c r="A411" s="6" t="s">
        <v>1123</v>
      </c>
      <c r="B411" s="7">
        <v>3.38</v>
      </c>
      <c r="C411" s="7">
        <v>1.7570232465074596</v>
      </c>
      <c r="D411" s="3">
        <v>0</v>
      </c>
      <c r="E411" s="7">
        <v>903.05</v>
      </c>
      <c r="F411" s="7">
        <v>267.45</v>
      </c>
      <c r="G411" s="2" t="s">
        <v>1124</v>
      </c>
      <c r="H411" s="2" t="s">
        <v>1125</v>
      </c>
    </row>
    <row r="412" spans="1:8" s="1" customFormat="1" ht="13.8" x14ac:dyDescent="0.25">
      <c r="A412" s="6" t="s">
        <v>1110</v>
      </c>
      <c r="B412" s="7">
        <v>3.39</v>
      </c>
      <c r="C412" s="7">
        <v>1.7612852733616193</v>
      </c>
      <c r="D412" s="3">
        <v>0</v>
      </c>
      <c r="E412" s="7">
        <v>553.36</v>
      </c>
      <c r="F412" s="7">
        <v>163.26</v>
      </c>
      <c r="G412" s="2" t="s">
        <v>36</v>
      </c>
      <c r="H412" s="2" t="s">
        <v>1110</v>
      </c>
    </row>
    <row r="413" spans="1:8" s="1" customFormat="1" ht="13.8" x14ac:dyDescent="0.25">
      <c r="A413" s="6" t="s">
        <v>174</v>
      </c>
      <c r="B413" s="7">
        <v>3.39</v>
      </c>
      <c r="C413" s="7">
        <v>1.7612852733616193</v>
      </c>
      <c r="D413" s="3">
        <v>0</v>
      </c>
      <c r="E413" s="7">
        <v>100.38</v>
      </c>
      <c r="F413" s="7">
        <v>29.58</v>
      </c>
      <c r="G413" s="2" t="s">
        <v>175</v>
      </c>
      <c r="H413" s="2" t="s">
        <v>176</v>
      </c>
    </row>
    <row r="414" spans="1:8" s="1" customFormat="1" ht="13.8" x14ac:dyDescent="0.25">
      <c r="A414" s="6" t="s">
        <v>1160</v>
      </c>
      <c r="B414" s="7">
        <v>3.39</v>
      </c>
      <c r="C414" s="7">
        <v>1.7612852733616193</v>
      </c>
      <c r="D414" s="3">
        <v>0</v>
      </c>
      <c r="E414" s="7">
        <v>61.44</v>
      </c>
      <c r="F414" s="7">
        <v>18.100000000000001</v>
      </c>
      <c r="G414" s="2" t="s">
        <v>878</v>
      </c>
      <c r="H414" s="2" t="s">
        <v>1161</v>
      </c>
    </row>
    <row r="415" spans="1:8" s="1" customFormat="1" ht="13.8" x14ac:dyDescent="0.25">
      <c r="A415" s="6" t="s">
        <v>632</v>
      </c>
      <c r="B415" s="7">
        <v>3.4</v>
      </c>
      <c r="C415" s="7">
        <v>1.7655347463629771</v>
      </c>
      <c r="D415" s="3">
        <v>0</v>
      </c>
      <c r="E415" s="7">
        <v>161.21</v>
      </c>
      <c r="F415" s="7">
        <v>47.43</v>
      </c>
      <c r="G415" s="2" t="s">
        <v>633</v>
      </c>
      <c r="H415" s="2" t="s">
        <v>634</v>
      </c>
    </row>
    <row r="416" spans="1:8" s="1" customFormat="1" ht="13.8" x14ac:dyDescent="0.25">
      <c r="A416" s="6" t="s">
        <v>1236</v>
      </c>
      <c r="B416" s="7">
        <v>3.4</v>
      </c>
      <c r="C416" s="7">
        <v>1.7655347463629771</v>
      </c>
      <c r="D416" s="3">
        <v>1.26E-4</v>
      </c>
      <c r="E416" s="7">
        <v>15.47</v>
      </c>
      <c r="F416" s="7">
        <v>4.54</v>
      </c>
      <c r="G416" s="2" t="s">
        <v>1237</v>
      </c>
      <c r="H416" s="2" t="s">
        <v>1238</v>
      </c>
    </row>
    <row r="417" spans="1:8" s="1" customFormat="1" ht="13.8" x14ac:dyDescent="0.25">
      <c r="A417" s="6" t="s">
        <v>417</v>
      </c>
      <c r="B417" s="7">
        <v>3.41</v>
      </c>
      <c r="C417" s="7">
        <v>1.7697717392494476</v>
      </c>
      <c r="D417" s="3">
        <v>0</v>
      </c>
      <c r="E417" s="7">
        <v>1247.45</v>
      </c>
      <c r="F417" s="7">
        <v>365.95</v>
      </c>
      <c r="G417" s="2" t="s">
        <v>418</v>
      </c>
      <c r="H417" s="2" t="s">
        <v>419</v>
      </c>
    </row>
    <row r="418" spans="1:8" s="1" customFormat="1" ht="13.8" x14ac:dyDescent="0.25">
      <c r="A418" s="6" t="s">
        <v>312</v>
      </c>
      <c r="B418" s="7">
        <v>3.44</v>
      </c>
      <c r="C418" s="7">
        <v>1.7824085649273733</v>
      </c>
      <c r="D418" s="3">
        <v>0</v>
      </c>
      <c r="E418" s="7">
        <v>698.49</v>
      </c>
      <c r="F418" s="7">
        <v>202.89</v>
      </c>
      <c r="G418" s="2" t="s">
        <v>313</v>
      </c>
      <c r="H418" s="2" t="s">
        <v>314</v>
      </c>
    </row>
    <row r="419" spans="1:8" s="1" customFormat="1" ht="13.8" x14ac:dyDescent="0.25">
      <c r="A419" s="6" t="s">
        <v>1271</v>
      </c>
      <c r="B419" s="7">
        <v>3.45</v>
      </c>
      <c r="C419" s="7">
        <v>1.7865963618908067</v>
      </c>
      <c r="D419" s="3">
        <v>0</v>
      </c>
      <c r="E419" s="7">
        <v>340.24</v>
      </c>
      <c r="F419" s="7">
        <v>98.72</v>
      </c>
      <c r="G419" s="2" t="s">
        <v>1272</v>
      </c>
      <c r="H419" s="2" t="s">
        <v>1273</v>
      </c>
    </row>
    <row r="420" spans="1:8" s="1" customFormat="1" ht="13.8" x14ac:dyDescent="0.25">
      <c r="A420" s="6" t="s">
        <v>39</v>
      </c>
      <c r="B420" s="7">
        <v>3.49</v>
      </c>
      <c r="C420" s="7">
        <v>1.8032270364349277</v>
      </c>
      <c r="D420" s="3">
        <v>0</v>
      </c>
      <c r="E420" s="7">
        <v>5750.34</v>
      </c>
      <c r="F420" s="7">
        <v>1649.55</v>
      </c>
      <c r="G420" s="2" t="s">
        <v>11</v>
      </c>
      <c r="H420" s="2" t="s">
        <v>40</v>
      </c>
    </row>
    <row r="421" spans="1:8" s="1" customFormat="1" ht="13.8" x14ac:dyDescent="0.25">
      <c r="A421" s="6" t="s">
        <v>557</v>
      </c>
      <c r="B421" s="7">
        <v>3.51</v>
      </c>
      <c r="C421" s="7">
        <v>1.8114710305298358</v>
      </c>
      <c r="D421" s="3">
        <v>0</v>
      </c>
      <c r="E421" s="7">
        <v>167.15</v>
      </c>
      <c r="F421" s="7">
        <v>47.67</v>
      </c>
      <c r="G421" s="2" t="s">
        <v>255</v>
      </c>
      <c r="H421" s="2" t="s">
        <v>558</v>
      </c>
    </row>
    <row r="422" spans="1:8" s="1" customFormat="1" ht="13.8" x14ac:dyDescent="0.25">
      <c r="A422" s="6" t="s">
        <v>180</v>
      </c>
      <c r="B422" s="7">
        <v>3.53</v>
      </c>
      <c r="C422" s="7">
        <v>1.8196681834964556</v>
      </c>
      <c r="D422" s="3">
        <v>0</v>
      </c>
      <c r="E422" s="7">
        <v>760.5</v>
      </c>
      <c r="F422" s="7">
        <v>215.43</v>
      </c>
      <c r="G422" s="2" t="s">
        <v>181</v>
      </c>
      <c r="H422" s="2" t="s">
        <v>182</v>
      </c>
    </row>
    <row r="423" spans="1:8" s="1" customFormat="1" ht="13.8" x14ac:dyDescent="0.25">
      <c r="A423" s="6" t="s">
        <v>1177</v>
      </c>
      <c r="B423" s="7">
        <v>3.53</v>
      </c>
      <c r="C423" s="7">
        <v>1.8196681834964556</v>
      </c>
      <c r="D423" s="3">
        <v>2.5900000000000001E-12</v>
      </c>
      <c r="E423" s="7">
        <v>427.41</v>
      </c>
      <c r="F423" s="7">
        <v>121.04</v>
      </c>
      <c r="G423" s="2" t="s">
        <v>1178</v>
      </c>
      <c r="H423" s="2" t="s">
        <v>1179</v>
      </c>
    </row>
    <row r="424" spans="1:8" s="1" customFormat="1" ht="13.8" x14ac:dyDescent="0.25">
      <c r="A424" s="6" t="s">
        <v>115</v>
      </c>
      <c r="B424" s="7">
        <v>3.54</v>
      </c>
      <c r="C424" s="7">
        <v>1.8237493603082728</v>
      </c>
      <c r="D424" s="3">
        <v>0</v>
      </c>
      <c r="E424" s="7">
        <v>265.11</v>
      </c>
      <c r="F424" s="7">
        <v>74.930000000000007</v>
      </c>
      <c r="G424" s="2" t="s">
        <v>116</v>
      </c>
      <c r="H424" s="2" t="s">
        <v>117</v>
      </c>
    </row>
    <row r="425" spans="1:8" s="1" customFormat="1" ht="13.8" x14ac:dyDescent="0.25">
      <c r="A425" s="6" t="s">
        <v>93</v>
      </c>
      <c r="B425" s="7">
        <v>3.57</v>
      </c>
      <c r="C425" s="7">
        <v>1.835924074254375</v>
      </c>
      <c r="D425" s="3">
        <v>0</v>
      </c>
      <c r="E425" s="7">
        <v>642.22</v>
      </c>
      <c r="F425" s="7">
        <v>180.07</v>
      </c>
      <c r="G425" s="2" t="s">
        <v>94</v>
      </c>
      <c r="H425" s="2" t="s">
        <v>95</v>
      </c>
    </row>
    <row r="426" spans="1:8" s="1" customFormat="1" ht="13.8" x14ac:dyDescent="0.25">
      <c r="A426" s="6" t="s">
        <v>1134</v>
      </c>
      <c r="B426" s="7">
        <v>3.58</v>
      </c>
      <c r="C426" s="7">
        <v>1.8399595874895318</v>
      </c>
      <c r="D426" s="3">
        <v>0</v>
      </c>
      <c r="E426" s="7">
        <v>360.94</v>
      </c>
      <c r="F426" s="7">
        <v>100.78</v>
      </c>
      <c r="G426" s="2" t="s">
        <v>1135</v>
      </c>
      <c r="H426" s="2" t="s">
        <v>1136</v>
      </c>
    </row>
    <row r="427" spans="1:8" s="1" customFormat="1" ht="13.8" x14ac:dyDescent="0.25">
      <c r="A427" s="6" t="s">
        <v>245</v>
      </c>
      <c r="B427" s="7">
        <v>3.62</v>
      </c>
      <c r="C427" s="7">
        <v>1.8559896973084806</v>
      </c>
      <c r="D427" s="3">
        <v>0</v>
      </c>
      <c r="E427" s="7">
        <v>355.95</v>
      </c>
      <c r="F427" s="7">
        <v>98.2</v>
      </c>
      <c r="G427" s="2" t="s">
        <v>246</v>
      </c>
      <c r="H427" s="2" t="s">
        <v>247</v>
      </c>
    </row>
    <row r="428" spans="1:8" s="1" customFormat="1" ht="13.8" x14ac:dyDescent="0.25">
      <c r="A428" s="6" t="s">
        <v>308</v>
      </c>
      <c r="B428" s="7">
        <v>3.64</v>
      </c>
      <c r="C428" s="7">
        <v>1.8639384504239718</v>
      </c>
      <c r="D428" s="3">
        <v>1.6199999999999999E-6</v>
      </c>
      <c r="E428" s="7">
        <v>61.71</v>
      </c>
      <c r="F428" s="7">
        <v>16.95</v>
      </c>
      <c r="G428" s="2" t="s">
        <v>309</v>
      </c>
      <c r="H428" s="2" t="s">
        <v>310</v>
      </c>
    </row>
    <row r="429" spans="1:8" s="1" customFormat="1" ht="13.8" x14ac:dyDescent="0.25">
      <c r="A429" s="6" t="s">
        <v>1381</v>
      </c>
      <c r="B429" s="7">
        <v>3.7</v>
      </c>
      <c r="C429" s="7">
        <v>1.8875252707415877</v>
      </c>
      <c r="D429" s="3">
        <v>0</v>
      </c>
      <c r="E429" s="7">
        <v>363.51</v>
      </c>
      <c r="F429" s="7">
        <v>98.35</v>
      </c>
      <c r="G429" s="2" t="s">
        <v>1382</v>
      </c>
      <c r="H429" s="2" t="s">
        <v>1383</v>
      </c>
    </row>
    <row r="430" spans="1:8" s="1" customFormat="1" ht="13.8" x14ac:dyDescent="0.25">
      <c r="A430" s="6" t="s">
        <v>480</v>
      </c>
      <c r="B430" s="7">
        <v>3.72</v>
      </c>
      <c r="C430" s="7">
        <v>1.8953026213333068</v>
      </c>
      <c r="D430" s="3">
        <v>0</v>
      </c>
      <c r="E430" s="7">
        <v>708.68</v>
      </c>
      <c r="F430" s="7">
        <v>190.62</v>
      </c>
      <c r="G430" s="2" t="s">
        <v>481</v>
      </c>
      <c r="H430" s="2" t="s">
        <v>482</v>
      </c>
    </row>
    <row r="431" spans="1:8" s="1" customFormat="1" ht="13.8" x14ac:dyDescent="0.25">
      <c r="A431" s="6" t="s">
        <v>1126</v>
      </c>
      <c r="B431" s="7">
        <v>3.72</v>
      </c>
      <c r="C431" s="7">
        <v>1.8953026213333068</v>
      </c>
      <c r="D431" s="3">
        <v>0</v>
      </c>
      <c r="E431" s="7">
        <v>100.21</v>
      </c>
      <c r="F431" s="7">
        <v>26.93</v>
      </c>
      <c r="G431" s="2" t="s">
        <v>1127</v>
      </c>
      <c r="H431" s="2" t="s">
        <v>1128</v>
      </c>
    </row>
    <row r="432" spans="1:8" s="1" customFormat="1" ht="13.8" x14ac:dyDescent="0.25">
      <c r="A432" s="6" t="s">
        <v>1245</v>
      </c>
      <c r="B432" s="7">
        <v>3.72</v>
      </c>
      <c r="C432" s="7">
        <v>1.8953026213333068</v>
      </c>
      <c r="D432" s="3">
        <v>0</v>
      </c>
      <c r="E432" s="7">
        <v>147.24</v>
      </c>
      <c r="F432" s="7">
        <v>39.56</v>
      </c>
      <c r="G432" s="2" t="s">
        <v>386</v>
      </c>
      <c r="H432" s="2" t="s">
        <v>1246</v>
      </c>
    </row>
    <row r="433" spans="1:8" s="1" customFormat="1" ht="13.8" x14ac:dyDescent="0.25">
      <c r="A433" s="6" t="s">
        <v>540</v>
      </c>
      <c r="B433" s="7">
        <v>3.73</v>
      </c>
      <c r="C433" s="7">
        <v>1.899175630480513</v>
      </c>
      <c r="D433" s="3">
        <v>0</v>
      </c>
      <c r="E433" s="7">
        <v>217.98</v>
      </c>
      <c r="F433" s="7">
        <v>58.46</v>
      </c>
      <c r="G433" s="2" t="s">
        <v>127</v>
      </c>
      <c r="H433" s="2" t="s">
        <v>541</v>
      </c>
    </row>
    <row r="434" spans="1:8" s="1" customFormat="1" ht="13.8" x14ac:dyDescent="0.25">
      <c r="A434" s="6" t="s">
        <v>1239</v>
      </c>
      <c r="B434" s="7">
        <v>3.74</v>
      </c>
      <c r="C434" s="7">
        <v>1.9030382701129123</v>
      </c>
      <c r="D434" s="3">
        <v>0</v>
      </c>
      <c r="E434" s="7">
        <v>524.58000000000004</v>
      </c>
      <c r="F434" s="7">
        <v>140.30000000000001</v>
      </c>
      <c r="G434" s="2" t="s">
        <v>1240</v>
      </c>
      <c r="H434" s="2" t="s">
        <v>1241</v>
      </c>
    </row>
    <row r="435" spans="1:8" s="1" customFormat="1" ht="13.8" x14ac:dyDescent="0.25">
      <c r="A435" s="6" t="s">
        <v>462</v>
      </c>
      <c r="B435" s="7">
        <v>3.78</v>
      </c>
      <c r="C435" s="7">
        <v>1.9183862344463478</v>
      </c>
      <c r="D435" s="3">
        <v>0</v>
      </c>
      <c r="E435" s="7">
        <v>55.14</v>
      </c>
      <c r="F435" s="7">
        <v>14.58</v>
      </c>
      <c r="G435" s="2" t="s">
        <v>463</v>
      </c>
      <c r="H435" s="2" t="s">
        <v>464</v>
      </c>
    </row>
    <row r="436" spans="1:8" s="1" customFormat="1" ht="13.8" x14ac:dyDescent="0.25">
      <c r="A436" s="6" t="s">
        <v>1199</v>
      </c>
      <c r="B436" s="7">
        <v>3.8</v>
      </c>
      <c r="C436" s="7">
        <v>1.925999418556223</v>
      </c>
      <c r="D436" s="3">
        <v>2.2000000000000001E-7</v>
      </c>
      <c r="E436" s="7">
        <v>23.83</v>
      </c>
      <c r="F436" s="7">
        <v>6.28</v>
      </c>
      <c r="G436" s="2" t="s">
        <v>1200</v>
      </c>
      <c r="H436" s="2" t="s">
        <v>1201</v>
      </c>
    </row>
    <row r="437" spans="1:8" s="1" customFormat="1" ht="13.8" x14ac:dyDescent="0.25">
      <c r="A437" s="6" t="s">
        <v>332</v>
      </c>
      <c r="B437" s="7">
        <v>3.81</v>
      </c>
      <c r="C437" s="7">
        <v>1.9297909977185974</v>
      </c>
      <c r="D437" s="3">
        <v>0</v>
      </c>
      <c r="E437" s="7">
        <v>1260.83</v>
      </c>
      <c r="F437" s="7">
        <v>331</v>
      </c>
      <c r="G437" s="2" t="s">
        <v>36</v>
      </c>
      <c r="H437" s="2" t="s">
        <v>333</v>
      </c>
    </row>
    <row r="438" spans="1:8" s="1" customFormat="1" ht="13.8" x14ac:dyDescent="0.25">
      <c r="A438" s="6" t="s">
        <v>100</v>
      </c>
      <c r="B438" s="7">
        <v>3.81</v>
      </c>
      <c r="C438" s="7">
        <v>1.9297909977185974</v>
      </c>
      <c r="D438" s="3">
        <v>0</v>
      </c>
      <c r="E438" s="7">
        <v>135.88</v>
      </c>
      <c r="F438" s="7">
        <v>35.67</v>
      </c>
      <c r="G438" s="2" t="s">
        <v>101</v>
      </c>
      <c r="H438" s="2" t="s">
        <v>102</v>
      </c>
    </row>
    <row r="439" spans="1:8" s="1" customFormat="1" ht="13.8" x14ac:dyDescent="0.25">
      <c r="A439" s="6" t="s">
        <v>1282</v>
      </c>
      <c r="B439" s="7">
        <v>3.81</v>
      </c>
      <c r="C439" s="7">
        <v>1.9297909977185974</v>
      </c>
      <c r="D439" s="3">
        <v>0</v>
      </c>
      <c r="E439" s="7">
        <v>139.43</v>
      </c>
      <c r="F439" s="7">
        <v>36.590000000000003</v>
      </c>
      <c r="G439" s="2" t="s">
        <v>353</v>
      </c>
      <c r="H439" s="2" t="s">
        <v>1283</v>
      </c>
    </row>
    <row r="440" spans="1:8" s="1" customFormat="1" ht="13.8" x14ac:dyDescent="0.25">
      <c r="A440" s="6" t="s">
        <v>329</v>
      </c>
      <c r="B440" s="7">
        <v>3.81</v>
      </c>
      <c r="C440" s="7">
        <v>1.9297909977185974</v>
      </c>
      <c r="D440" s="3">
        <v>0</v>
      </c>
      <c r="E440" s="7">
        <v>578.85</v>
      </c>
      <c r="F440" s="7">
        <v>151.88999999999999</v>
      </c>
      <c r="G440" s="2" t="s">
        <v>330</v>
      </c>
      <c r="H440" s="2" t="s">
        <v>331</v>
      </c>
    </row>
    <row r="441" spans="1:8" s="1" customFormat="1" ht="13.8" x14ac:dyDescent="0.25">
      <c r="A441" s="6" t="s">
        <v>82</v>
      </c>
      <c r="B441" s="7">
        <v>3.82</v>
      </c>
      <c r="C441" s="7">
        <v>1.9335726382610239</v>
      </c>
      <c r="D441" s="3">
        <v>0</v>
      </c>
      <c r="E441" s="7">
        <v>373.8</v>
      </c>
      <c r="F441" s="7">
        <v>97.98</v>
      </c>
      <c r="G441" s="2" t="s">
        <v>30</v>
      </c>
      <c r="H441" s="2" t="s">
        <v>83</v>
      </c>
    </row>
    <row r="442" spans="1:8" s="1" customFormat="1" ht="13.8" x14ac:dyDescent="0.25">
      <c r="A442" s="6" t="s">
        <v>1111</v>
      </c>
      <c r="B442" s="7">
        <v>3.84</v>
      </c>
      <c r="C442" s="7">
        <v>1.9411063109464317</v>
      </c>
      <c r="D442" s="3">
        <v>0</v>
      </c>
      <c r="E442" s="7">
        <v>250.1</v>
      </c>
      <c r="F442" s="7">
        <v>65.209999999999994</v>
      </c>
      <c r="G442" s="2" t="s">
        <v>36</v>
      </c>
      <c r="H442" s="2" t="s">
        <v>1111</v>
      </c>
    </row>
    <row r="443" spans="1:8" s="1" customFormat="1" ht="13.8" x14ac:dyDescent="0.25">
      <c r="A443" s="6" t="s">
        <v>177</v>
      </c>
      <c r="B443" s="7">
        <v>3.9</v>
      </c>
      <c r="C443" s="7">
        <v>1.9634741239748859</v>
      </c>
      <c r="D443" s="3">
        <v>0</v>
      </c>
      <c r="E443" s="7">
        <v>978.04</v>
      </c>
      <c r="F443" s="7">
        <v>250.87</v>
      </c>
      <c r="G443" s="2" t="s">
        <v>178</v>
      </c>
      <c r="H443" s="2" t="s">
        <v>179</v>
      </c>
    </row>
    <row r="444" spans="1:8" s="1" customFormat="1" ht="13.8" x14ac:dyDescent="0.25">
      <c r="A444" s="6" t="s">
        <v>35</v>
      </c>
      <c r="B444" s="7">
        <v>3.93</v>
      </c>
      <c r="C444" s="7">
        <v>1.9745293124838819</v>
      </c>
      <c r="D444" s="3">
        <v>0</v>
      </c>
      <c r="E444" s="7">
        <v>467.53</v>
      </c>
      <c r="F444" s="7">
        <v>119.1</v>
      </c>
      <c r="G444" s="2" t="s">
        <v>36</v>
      </c>
      <c r="H444" s="2" t="s">
        <v>37</v>
      </c>
    </row>
    <row r="445" spans="1:8" s="1" customFormat="1" ht="13.8" x14ac:dyDescent="0.25">
      <c r="A445" s="6" t="s">
        <v>17</v>
      </c>
      <c r="B445" s="7">
        <v>3.98</v>
      </c>
      <c r="C445" s="7">
        <v>1.9927684307689242</v>
      </c>
      <c r="D445" s="3">
        <v>7.3100000000000001E-5</v>
      </c>
      <c r="E445" s="7">
        <v>1259.17</v>
      </c>
      <c r="F445" s="7">
        <v>316.67</v>
      </c>
      <c r="G445" s="2" t="s">
        <v>18</v>
      </c>
      <c r="H445" s="2" t="s">
        <v>19</v>
      </c>
    </row>
    <row r="446" spans="1:8" s="1" customFormat="1" ht="13.8" x14ac:dyDescent="0.25">
      <c r="A446" s="6" t="s">
        <v>1242</v>
      </c>
      <c r="B446" s="7">
        <v>3.98</v>
      </c>
      <c r="C446" s="7">
        <v>1.9927684307689242</v>
      </c>
      <c r="D446" s="3">
        <v>0</v>
      </c>
      <c r="E446" s="7">
        <v>711.56</v>
      </c>
      <c r="F446" s="7">
        <v>178.67</v>
      </c>
      <c r="G446" s="2" t="s">
        <v>1243</v>
      </c>
      <c r="H446" s="2" t="s">
        <v>1244</v>
      </c>
    </row>
    <row r="447" spans="1:8" s="1" customFormat="1" ht="13.8" x14ac:dyDescent="0.25">
      <c r="A447" s="6" t="s">
        <v>1141</v>
      </c>
      <c r="B447" s="7">
        <v>3.99</v>
      </c>
      <c r="C447" s="7">
        <v>1.9963887464476213</v>
      </c>
      <c r="D447" s="3">
        <v>0</v>
      </c>
      <c r="E447" s="7">
        <v>163.99</v>
      </c>
      <c r="F447" s="7">
        <v>41.15</v>
      </c>
      <c r="G447" s="2" t="s">
        <v>1142</v>
      </c>
      <c r="H447" s="2" t="s">
        <v>1143</v>
      </c>
    </row>
    <row r="448" spans="1:8" s="1" customFormat="1" ht="13.8" x14ac:dyDescent="0.25">
      <c r="A448" s="6" t="s">
        <v>400</v>
      </c>
      <c r="B448" s="7">
        <v>4.04</v>
      </c>
      <c r="C448" s="7">
        <v>2.0143552929770703</v>
      </c>
      <c r="D448" s="3">
        <v>3.2600000000000001E-8</v>
      </c>
      <c r="E448" s="7">
        <v>186.53</v>
      </c>
      <c r="F448" s="7">
        <v>46.16</v>
      </c>
      <c r="G448" s="2" t="s">
        <v>401</v>
      </c>
      <c r="H448" s="2" t="s">
        <v>402</v>
      </c>
    </row>
    <row r="449" spans="1:8" s="1" customFormat="1" ht="13.8" x14ac:dyDescent="0.25">
      <c r="A449" s="6" t="s">
        <v>169</v>
      </c>
      <c r="B449" s="7">
        <v>4.0999999999999996</v>
      </c>
      <c r="C449" s="7">
        <v>2.0356239097307212</v>
      </c>
      <c r="D449" s="3">
        <v>0</v>
      </c>
      <c r="E449" s="7">
        <v>622.69000000000005</v>
      </c>
      <c r="F449" s="7">
        <v>151.9</v>
      </c>
      <c r="G449" s="2" t="s">
        <v>170</v>
      </c>
      <c r="H449" s="2" t="s">
        <v>171</v>
      </c>
    </row>
    <row r="450" spans="1:8" s="1" customFormat="1" ht="13.8" x14ac:dyDescent="0.25">
      <c r="A450" s="6" t="s">
        <v>655</v>
      </c>
      <c r="B450" s="7">
        <v>4.1500000000000004</v>
      </c>
      <c r="C450" s="7">
        <v>2.0531113364595623</v>
      </c>
      <c r="D450" s="3">
        <v>1.29E-11</v>
      </c>
      <c r="E450" s="7">
        <v>36.090000000000003</v>
      </c>
      <c r="F450" s="7">
        <v>8.69</v>
      </c>
      <c r="G450" s="2" t="s">
        <v>7</v>
      </c>
      <c r="H450" s="2" t="s">
        <v>655</v>
      </c>
    </row>
    <row r="451" spans="1:8" s="1" customFormat="1" ht="13.8" x14ac:dyDescent="0.25">
      <c r="A451" s="6" t="s">
        <v>1205</v>
      </c>
      <c r="B451" s="7">
        <v>4.16</v>
      </c>
      <c r="C451" s="7">
        <v>2.0565835283663674</v>
      </c>
      <c r="D451" s="3">
        <v>0</v>
      </c>
      <c r="E451" s="7">
        <v>579.1</v>
      </c>
      <c r="F451" s="7">
        <v>139.22999999999999</v>
      </c>
      <c r="G451" s="2" t="s">
        <v>1206</v>
      </c>
      <c r="H451" s="2" t="s">
        <v>1207</v>
      </c>
    </row>
    <row r="452" spans="1:8" s="1" customFormat="1" ht="13.8" x14ac:dyDescent="0.25">
      <c r="A452" s="6" t="s">
        <v>242</v>
      </c>
      <c r="B452" s="7">
        <v>4.21</v>
      </c>
      <c r="C452" s="7">
        <v>2.0738202332916713</v>
      </c>
      <c r="D452" s="3">
        <v>7.7700000000000001E-8</v>
      </c>
      <c r="E452" s="7">
        <v>23.25</v>
      </c>
      <c r="F452" s="7">
        <v>5.52</v>
      </c>
      <c r="G452" s="2" t="s">
        <v>243</v>
      </c>
      <c r="H452" s="2" t="s">
        <v>244</v>
      </c>
    </row>
    <row r="453" spans="1:8" s="1" customFormat="1" ht="13.8" x14ac:dyDescent="0.25">
      <c r="A453" s="6" t="s">
        <v>76</v>
      </c>
      <c r="B453" s="7">
        <v>4.24</v>
      </c>
      <c r="C453" s="7">
        <v>2.0840642647884744</v>
      </c>
      <c r="D453" s="3">
        <v>0</v>
      </c>
      <c r="E453" s="7">
        <v>664.44</v>
      </c>
      <c r="F453" s="7">
        <v>156.80000000000001</v>
      </c>
      <c r="G453" s="2" t="s">
        <v>77</v>
      </c>
      <c r="H453" s="2" t="s">
        <v>78</v>
      </c>
    </row>
    <row r="454" spans="1:8" s="1" customFormat="1" ht="13.8" x14ac:dyDescent="0.25">
      <c r="A454" s="6" t="s">
        <v>1171</v>
      </c>
      <c r="B454" s="7">
        <v>4.2699999999999996</v>
      </c>
      <c r="C454" s="7">
        <v>2.0942360698457656</v>
      </c>
      <c r="D454" s="3">
        <v>0</v>
      </c>
      <c r="E454" s="7">
        <v>99.9</v>
      </c>
      <c r="F454" s="7">
        <v>23.4</v>
      </c>
      <c r="G454" s="2" t="s">
        <v>1172</v>
      </c>
      <c r="H454" s="2" t="s">
        <v>1173</v>
      </c>
    </row>
    <row r="455" spans="1:8" s="1" customFormat="1" ht="13.8" x14ac:dyDescent="0.25">
      <c r="A455" s="6" t="s">
        <v>1180</v>
      </c>
      <c r="B455" s="7">
        <v>4.3499999999999996</v>
      </c>
      <c r="C455" s="7">
        <v>2.1210154009613658</v>
      </c>
      <c r="D455" s="3">
        <v>0</v>
      </c>
      <c r="E455" s="7">
        <v>79.36</v>
      </c>
      <c r="F455" s="7">
        <v>18.23</v>
      </c>
      <c r="G455" s="2" t="s">
        <v>1181</v>
      </c>
      <c r="H455" s="2" t="s">
        <v>1182</v>
      </c>
    </row>
    <row r="456" spans="1:8" s="1" customFormat="1" ht="13.8" x14ac:dyDescent="0.25">
      <c r="A456" s="6" t="s">
        <v>1202</v>
      </c>
      <c r="B456" s="7">
        <v>4.3899999999999997</v>
      </c>
      <c r="C456" s="7">
        <v>2.1342209397606333</v>
      </c>
      <c r="D456" s="3">
        <v>0</v>
      </c>
      <c r="E456" s="7">
        <v>975.73</v>
      </c>
      <c r="F456" s="7">
        <v>222.19</v>
      </c>
      <c r="G456" s="2" t="s">
        <v>1203</v>
      </c>
      <c r="H456" s="2" t="s">
        <v>1204</v>
      </c>
    </row>
    <row r="457" spans="1:8" s="1" customFormat="1" ht="13.8" x14ac:dyDescent="0.25">
      <c r="A457" s="6" t="s">
        <v>1117</v>
      </c>
      <c r="B457" s="7">
        <v>4.3899999999999997</v>
      </c>
      <c r="C457" s="7">
        <v>2.1342209397606333</v>
      </c>
      <c r="D457" s="3">
        <v>0</v>
      </c>
      <c r="E457" s="7">
        <v>583.96</v>
      </c>
      <c r="F457" s="7">
        <v>132.97</v>
      </c>
      <c r="G457" s="2" t="s">
        <v>1118</v>
      </c>
      <c r="H457" s="2" t="s">
        <v>1119</v>
      </c>
    </row>
    <row r="458" spans="1:8" s="1" customFormat="1" ht="13.8" x14ac:dyDescent="0.25">
      <c r="A458" s="6" t="s">
        <v>1174</v>
      </c>
      <c r="B458" s="7">
        <v>4.41</v>
      </c>
      <c r="C458" s="7">
        <v>2.1407786557827961</v>
      </c>
      <c r="D458" s="3">
        <v>0</v>
      </c>
      <c r="E458" s="7">
        <v>1224.18</v>
      </c>
      <c r="F458" s="7">
        <v>277.82</v>
      </c>
      <c r="G458" s="2" t="s">
        <v>1175</v>
      </c>
      <c r="H458" s="2" t="s">
        <v>1176</v>
      </c>
    </row>
    <row r="459" spans="1:8" s="1" customFormat="1" ht="13.8" x14ac:dyDescent="0.25">
      <c r="A459" s="6" t="s">
        <v>32</v>
      </c>
      <c r="B459" s="7">
        <v>4.4400000000000004</v>
      </c>
      <c r="C459" s="7">
        <v>2.1505596765753814</v>
      </c>
      <c r="D459" s="3">
        <v>0</v>
      </c>
      <c r="E459" s="7">
        <v>644.32000000000005</v>
      </c>
      <c r="F459" s="7">
        <v>145.19</v>
      </c>
      <c r="G459" s="2" t="s">
        <v>33</v>
      </c>
      <c r="H459" s="2" t="s">
        <v>34</v>
      </c>
    </row>
    <row r="460" spans="1:8" s="1" customFormat="1" ht="13.8" x14ac:dyDescent="0.25">
      <c r="A460" s="6" t="s">
        <v>1144</v>
      </c>
      <c r="B460" s="7">
        <v>4.47</v>
      </c>
      <c r="C460" s="7">
        <v>2.1602748314085929</v>
      </c>
      <c r="D460" s="3">
        <v>0</v>
      </c>
      <c r="E460" s="7">
        <v>292.45999999999998</v>
      </c>
      <c r="F460" s="7">
        <v>65.41</v>
      </c>
      <c r="G460" s="2" t="s">
        <v>1145</v>
      </c>
      <c r="H460" s="2" t="s">
        <v>1146</v>
      </c>
    </row>
    <row r="461" spans="1:8" s="1" customFormat="1" ht="13.8" x14ac:dyDescent="0.25">
      <c r="A461" s="6" t="s">
        <v>786</v>
      </c>
      <c r="B461" s="7">
        <v>4.51</v>
      </c>
      <c r="C461" s="7">
        <v>2.1731274334806563</v>
      </c>
      <c r="D461" s="3">
        <v>0</v>
      </c>
      <c r="E461" s="7">
        <v>3983.59</v>
      </c>
      <c r="F461" s="7">
        <v>882.41</v>
      </c>
      <c r="G461" s="2" t="s">
        <v>787</v>
      </c>
      <c r="H461" s="2" t="s">
        <v>788</v>
      </c>
    </row>
    <row r="462" spans="1:8" s="1" customFormat="1" ht="13.8" x14ac:dyDescent="0.25">
      <c r="A462" s="6" t="s">
        <v>1293</v>
      </c>
      <c r="B462" s="7">
        <v>4.6100000000000003</v>
      </c>
      <c r="C462" s="7">
        <v>2.2047667506546134</v>
      </c>
      <c r="D462" s="3">
        <v>0</v>
      </c>
      <c r="E462" s="7">
        <v>190.63</v>
      </c>
      <c r="F462" s="7">
        <v>41.38</v>
      </c>
      <c r="G462" s="2" t="s">
        <v>1294</v>
      </c>
      <c r="H462" s="2" t="s">
        <v>1295</v>
      </c>
    </row>
    <row r="463" spans="1:8" s="1" customFormat="1" ht="13.8" x14ac:dyDescent="0.25">
      <c r="A463" s="6" t="s">
        <v>1254</v>
      </c>
      <c r="B463" s="7">
        <v>4.67</v>
      </c>
      <c r="C463" s="7">
        <v>2.2234225499349374</v>
      </c>
      <c r="D463" s="3">
        <v>3.3199999999999999E-10</v>
      </c>
      <c r="E463" s="7">
        <v>28.67</v>
      </c>
      <c r="F463" s="7">
        <v>6.13</v>
      </c>
      <c r="G463" s="2" t="s">
        <v>1255</v>
      </c>
      <c r="H463" s="2" t="s">
        <v>1256</v>
      </c>
    </row>
    <row r="464" spans="1:8" s="1" customFormat="1" ht="13.8" x14ac:dyDescent="0.25">
      <c r="A464" s="6" t="s">
        <v>1138</v>
      </c>
      <c r="B464" s="7">
        <v>4.6900000000000004</v>
      </c>
      <c r="C464" s="7">
        <v>2.2295879227406519</v>
      </c>
      <c r="D464" s="3">
        <v>0</v>
      </c>
      <c r="E464" s="7">
        <v>196.04</v>
      </c>
      <c r="F464" s="7">
        <v>41.76</v>
      </c>
      <c r="G464" s="2" t="s">
        <v>1139</v>
      </c>
      <c r="H464" s="2" t="s">
        <v>1140</v>
      </c>
    </row>
    <row r="465" spans="1:8" s="1" customFormat="1" ht="13.8" x14ac:dyDescent="0.25">
      <c r="A465" s="6" t="s">
        <v>163</v>
      </c>
      <c r="B465" s="7">
        <v>4.79</v>
      </c>
      <c r="C465" s="7">
        <v>2.2600256559614555</v>
      </c>
      <c r="D465" s="3">
        <v>0</v>
      </c>
      <c r="E465" s="7">
        <v>63.71</v>
      </c>
      <c r="F465" s="7">
        <v>13.31</v>
      </c>
      <c r="G465" s="2" t="s">
        <v>164</v>
      </c>
      <c r="H465" s="2" t="s">
        <v>165</v>
      </c>
    </row>
    <row r="466" spans="1:8" s="1" customFormat="1" ht="13.8" x14ac:dyDescent="0.25">
      <c r="A466" s="6" t="s">
        <v>612</v>
      </c>
      <c r="B466" s="7">
        <v>4.8099999999999996</v>
      </c>
      <c r="C466" s="7">
        <v>2.266036893995317</v>
      </c>
      <c r="D466" s="3">
        <v>6.2499999999999997E-8</v>
      </c>
      <c r="E466" s="7">
        <v>148.47</v>
      </c>
      <c r="F466" s="7">
        <v>30.84</v>
      </c>
      <c r="G466" s="2" t="s">
        <v>36</v>
      </c>
      <c r="H466" s="2" t="s">
        <v>613</v>
      </c>
    </row>
    <row r="467" spans="1:8" s="1" customFormat="1" ht="13.8" x14ac:dyDescent="0.25">
      <c r="A467" s="6" t="s">
        <v>1247</v>
      </c>
      <c r="B467" s="7">
        <v>4.84</v>
      </c>
      <c r="C467" s="7">
        <v>2.2750070474998698</v>
      </c>
      <c r="D467" s="3">
        <v>0</v>
      </c>
      <c r="E467" s="7">
        <v>106.15</v>
      </c>
      <c r="F467" s="7">
        <v>21.95</v>
      </c>
      <c r="G467" s="2" t="s">
        <v>1248</v>
      </c>
      <c r="H467" s="2" t="s">
        <v>1249</v>
      </c>
    </row>
    <row r="468" spans="1:8" s="1" customFormat="1" ht="13.8" x14ac:dyDescent="0.25">
      <c r="A468" s="6" t="s">
        <v>1276</v>
      </c>
      <c r="B468" s="7">
        <v>4.8600000000000003</v>
      </c>
      <c r="C468" s="7">
        <v>2.2809563138310565</v>
      </c>
      <c r="D468" s="3">
        <v>3.6699999999999998E-4</v>
      </c>
      <c r="E468" s="7">
        <v>10</v>
      </c>
      <c r="F468" s="7">
        <v>2.06</v>
      </c>
      <c r="G468" s="2" t="s">
        <v>1277</v>
      </c>
      <c r="H468" s="2" t="s">
        <v>1278</v>
      </c>
    </row>
    <row r="469" spans="1:8" s="1" customFormat="1" ht="13.8" x14ac:dyDescent="0.25">
      <c r="A469" s="6" t="s">
        <v>195</v>
      </c>
      <c r="B469" s="7">
        <v>4.8899999999999997</v>
      </c>
      <c r="C469" s="7">
        <v>2.2898344651775089</v>
      </c>
      <c r="D469" s="3">
        <v>0</v>
      </c>
      <c r="E469" s="7">
        <v>475.99</v>
      </c>
      <c r="F469" s="7">
        <v>97.3</v>
      </c>
      <c r="G469" s="2" t="s">
        <v>196</v>
      </c>
      <c r="H469" s="2" t="s">
        <v>197</v>
      </c>
    </row>
    <row r="470" spans="1:8" s="1" customFormat="1" ht="13.8" x14ac:dyDescent="0.25">
      <c r="A470" s="6" t="s">
        <v>183</v>
      </c>
      <c r="B470" s="7">
        <v>4.9400000000000004</v>
      </c>
      <c r="C470" s="7">
        <v>2.304511041809953</v>
      </c>
      <c r="D470" s="3">
        <v>0</v>
      </c>
      <c r="E470" s="7">
        <v>195.48</v>
      </c>
      <c r="F470" s="7">
        <v>39.57</v>
      </c>
      <c r="G470" s="2" t="s">
        <v>184</v>
      </c>
      <c r="H470" s="2" t="s">
        <v>185</v>
      </c>
    </row>
    <row r="471" spans="1:8" s="1" customFormat="1" ht="13.8" x14ac:dyDescent="0.25">
      <c r="A471" s="6" t="s">
        <v>128</v>
      </c>
      <c r="B471" s="7">
        <v>4.97</v>
      </c>
      <c r="C471" s="7">
        <v>2.3132458517875616</v>
      </c>
      <c r="D471" s="3">
        <v>0</v>
      </c>
      <c r="E471" s="7">
        <v>48.75</v>
      </c>
      <c r="F471" s="7">
        <v>9.81</v>
      </c>
      <c r="G471" s="2" t="s">
        <v>129</v>
      </c>
      <c r="H471" s="2" t="s">
        <v>130</v>
      </c>
    </row>
    <row r="472" spans="1:8" s="1" customFormat="1" ht="13.8" x14ac:dyDescent="0.25">
      <c r="A472" s="6" t="s">
        <v>1222</v>
      </c>
      <c r="B472" s="7">
        <v>5.04</v>
      </c>
      <c r="C472" s="7">
        <v>2.333423733725192</v>
      </c>
      <c r="D472" s="3">
        <v>0</v>
      </c>
      <c r="E472" s="7">
        <v>690.17</v>
      </c>
      <c r="F472" s="7">
        <v>136.84</v>
      </c>
      <c r="G472" s="2" t="s">
        <v>7</v>
      </c>
      <c r="H472" s="2" t="s">
        <v>1222</v>
      </c>
    </row>
    <row r="473" spans="1:8" s="1" customFormat="1" ht="13.8" x14ac:dyDescent="0.25">
      <c r="A473" s="6" t="s">
        <v>1279</v>
      </c>
      <c r="B473" s="7">
        <v>5.08</v>
      </c>
      <c r="C473" s="7">
        <v>2.3448284969974416</v>
      </c>
      <c r="D473" s="3">
        <v>0</v>
      </c>
      <c r="E473" s="7">
        <v>429.19</v>
      </c>
      <c r="F473" s="7">
        <v>84.57</v>
      </c>
      <c r="G473" s="2" t="s">
        <v>1280</v>
      </c>
      <c r="H473" s="2" t="s">
        <v>1281</v>
      </c>
    </row>
    <row r="474" spans="1:8" s="1" customFormat="1" ht="13.8" x14ac:dyDescent="0.25">
      <c r="A474" s="6" t="s">
        <v>221</v>
      </c>
      <c r="B474" s="7">
        <v>5.1100000000000003</v>
      </c>
      <c r="C474" s="7">
        <v>2.3533232911628965</v>
      </c>
      <c r="D474" s="3">
        <v>0</v>
      </c>
      <c r="E474" s="7">
        <v>723.41</v>
      </c>
      <c r="F474" s="7">
        <v>141.68</v>
      </c>
      <c r="G474" s="2" t="s">
        <v>222</v>
      </c>
      <c r="H474" s="2" t="s">
        <v>223</v>
      </c>
    </row>
    <row r="475" spans="1:8" s="1" customFormat="1" ht="13.8" x14ac:dyDescent="0.25">
      <c r="A475" s="6" t="s">
        <v>1284</v>
      </c>
      <c r="B475" s="7">
        <v>5.1100000000000003</v>
      </c>
      <c r="C475" s="7">
        <v>2.3533232911628965</v>
      </c>
      <c r="D475" s="3">
        <v>0</v>
      </c>
      <c r="E475" s="7">
        <v>338.76</v>
      </c>
      <c r="F475" s="7">
        <v>66.260000000000005</v>
      </c>
      <c r="G475" s="2" t="s">
        <v>1285</v>
      </c>
      <c r="H475" s="2" t="s">
        <v>1286</v>
      </c>
    </row>
    <row r="476" spans="1:8" s="1" customFormat="1" ht="13.8" x14ac:dyDescent="0.25">
      <c r="A476" s="6" t="s">
        <v>146</v>
      </c>
      <c r="B476" s="7">
        <v>5.37</v>
      </c>
      <c r="C476" s="7">
        <v>2.4249220882106881</v>
      </c>
      <c r="D476" s="3">
        <v>0</v>
      </c>
      <c r="E476" s="7">
        <v>892.1</v>
      </c>
      <c r="F476" s="7">
        <v>166.17</v>
      </c>
      <c r="G476" s="2" t="s">
        <v>147</v>
      </c>
      <c r="H476" s="2" t="s">
        <v>148</v>
      </c>
    </row>
    <row r="477" spans="1:8" s="1" customFormat="1" ht="13.8" x14ac:dyDescent="0.25">
      <c r="A477" s="6" t="s">
        <v>99</v>
      </c>
      <c r="B477" s="7">
        <v>5.4</v>
      </c>
      <c r="C477" s="7">
        <v>2.4329594072761065</v>
      </c>
      <c r="D477" s="3">
        <v>0</v>
      </c>
      <c r="E477" s="7">
        <v>89.32</v>
      </c>
      <c r="F477" s="7">
        <v>16.55</v>
      </c>
      <c r="G477" s="2" t="s">
        <v>7</v>
      </c>
      <c r="H477" s="2" t="s">
        <v>99</v>
      </c>
    </row>
    <row r="478" spans="1:8" s="1" customFormat="1" ht="13.8" x14ac:dyDescent="0.25">
      <c r="A478" s="6" t="s">
        <v>64</v>
      </c>
      <c r="B478" s="7">
        <v>5.41</v>
      </c>
      <c r="C478" s="7">
        <v>2.4356285940520905</v>
      </c>
      <c r="D478" s="3">
        <v>0</v>
      </c>
      <c r="E478" s="7">
        <v>40.880000000000003</v>
      </c>
      <c r="F478" s="7">
        <v>7.56</v>
      </c>
      <c r="G478" s="2" t="s">
        <v>7</v>
      </c>
      <c r="H478" s="2" t="s">
        <v>64</v>
      </c>
    </row>
    <row r="479" spans="1:8" s="1" customFormat="1" ht="13.8" x14ac:dyDescent="0.25">
      <c r="A479" s="6" t="s">
        <v>145</v>
      </c>
      <c r="B479" s="7">
        <v>5.41</v>
      </c>
      <c r="C479" s="7">
        <v>2.4356285940520905</v>
      </c>
      <c r="D479" s="3">
        <v>0</v>
      </c>
      <c r="E479" s="7">
        <v>889.66</v>
      </c>
      <c r="F479" s="7">
        <v>164.37</v>
      </c>
      <c r="G479" s="2" t="s">
        <v>7</v>
      </c>
      <c r="H479" s="2" t="s">
        <v>145</v>
      </c>
    </row>
    <row r="480" spans="1:8" s="1" customFormat="1" ht="13.8" x14ac:dyDescent="0.25">
      <c r="A480" s="6" t="s">
        <v>1148</v>
      </c>
      <c r="B480" s="7">
        <v>5.44</v>
      </c>
      <c r="C480" s="7">
        <v>2.4436066514756147</v>
      </c>
      <c r="D480" s="3">
        <v>0</v>
      </c>
      <c r="E480" s="7">
        <v>442.31</v>
      </c>
      <c r="F480" s="7">
        <v>81.33</v>
      </c>
      <c r="G480" s="2" t="s">
        <v>1149</v>
      </c>
      <c r="H480" s="2" t="s">
        <v>1150</v>
      </c>
    </row>
    <row r="481" spans="1:8" s="1" customFormat="1" ht="13.8" x14ac:dyDescent="0.25">
      <c r="A481" s="6" t="s">
        <v>66</v>
      </c>
      <c r="B481" s="7">
        <v>5.47</v>
      </c>
      <c r="C481" s="7">
        <v>2.4515408330178317</v>
      </c>
      <c r="D481" s="3">
        <v>0</v>
      </c>
      <c r="E481" s="7">
        <v>94.2</v>
      </c>
      <c r="F481" s="7">
        <v>17.21</v>
      </c>
      <c r="G481" s="2" t="s">
        <v>7</v>
      </c>
      <c r="H481" s="2" t="s">
        <v>66</v>
      </c>
    </row>
    <row r="482" spans="1:8" s="1" customFormat="1" ht="13.8" x14ac:dyDescent="0.25">
      <c r="A482" s="6" t="s">
        <v>87</v>
      </c>
      <c r="B482" s="7">
        <v>5.57</v>
      </c>
      <c r="C482" s="7">
        <v>2.4776773275653072</v>
      </c>
      <c r="D482" s="3">
        <v>0</v>
      </c>
      <c r="E482" s="7">
        <v>185.14</v>
      </c>
      <c r="F482" s="7">
        <v>33.26</v>
      </c>
      <c r="G482" s="2" t="s">
        <v>88</v>
      </c>
      <c r="H482" s="2" t="s">
        <v>89</v>
      </c>
    </row>
    <row r="483" spans="1:8" s="1" customFormat="1" ht="13.8" x14ac:dyDescent="0.25">
      <c r="A483" s="6" t="s">
        <v>236</v>
      </c>
      <c r="B483" s="7">
        <v>5.57</v>
      </c>
      <c r="C483" s="7">
        <v>2.4776773275653072</v>
      </c>
      <c r="D483" s="3">
        <v>0</v>
      </c>
      <c r="E483" s="7">
        <v>276.99</v>
      </c>
      <c r="F483" s="7">
        <v>49.73</v>
      </c>
      <c r="G483" s="2" t="s">
        <v>237</v>
      </c>
      <c r="H483" s="2" t="s">
        <v>238</v>
      </c>
    </row>
    <row r="484" spans="1:8" s="1" customFormat="1" ht="13.8" x14ac:dyDescent="0.25">
      <c r="A484" s="6" t="s">
        <v>1147</v>
      </c>
      <c r="B484" s="7">
        <v>5.76</v>
      </c>
      <c r="C484" s="7">
        <v>2.5260688116675878</v>
      </c>
      <c r="D484" s="3">
        <v>0</v>
      </c>
      <c r="E484" s="7">
        <v>123.79</v>
      </c>
      <c r="F484" s="7">
        <v>21.48</v>
      </c>
      <c r="G484" s="2" t="s">
        <v>7</v>
      </c>
      <c r="H484" s="2" t="s">
        <v>1147</v>
      </c>
    </row>
    <row r="485" spans="1:8" s="1" customFormat="1" ht="13.8" x14ac:dyDescent="0.25">
      <c r="A485" s="6" t="s">
        <v>67</v>
      </c>
      <c r="B485" s="7">
        <v>6.12</v>
      </c>
      <c r="C485" s="7">
        <v>2.6135316529179273</v>
      </c>
      <c r="D485" s="3">
        <v>0</v>
      </c>
      <c r="E485" s="7">
        <v>143.78</v>
      </c>
      <c r="F485" s="7">
        <v>23.48</v>
      </c>
      <c r="G485" s="2" t="s">
        <v>68</v>
      </c>
      <c r="H485" s="2" t="s">
        <v>69</v>
      </c>
    </row>
    <row r="486" spans="1:8" s="1" customFormat="1" ht="13.8" x14ac:dyDescent="0.25">
      <c r="A486" s="6" t="s">
        <v>214</v>
      </c>
      <c r="B486" s="7">
        <v>6.2</v>
      </c>
      <c r="C486" s="7">
        <v>2.6322682154995132</v>
      </c>
      <c r="D486" s="3">
        <v>0</v>
      </c>
      <c r="E486" s="7">
        <v>436</v>
      </c>
      <c r="F486" s="7">
        <v>70.36</v>
      </c>
      <c r="G486" s="2" t="s">
        <v>215</v>
      </c>
      <c r="H486" s="2" t="s">
        <v>216</v>
      </c>
    </row>
    <row r="487" spans="1:8" s="1" customFormat="1" ht="13.8" x14ac:dyDescent="0.25">
      <c r="A487" s="6" t="s">
        <v>47</v>
      </c>
      <c r="B487" s="7">
        <v>6.5</v>
      </c>
      <c r="C487" s="7">
        <v>2.7004397181410922</v>
      </c>
      <c r="D487" s="3">
        <v>0</v>
      </c>
      <c r="E487" s="7">
        <v>505.55</v>
      </c>
      <c r="F487" s="7">
        <v>77.73</v>
      </c>
      <c r="G487" s="2" t="s">
        <v>48</v>
      </c>
      <c r="H487" s="2" t="s">
        <v>49</v>
      </c>
    </row>
    <row r="488" spans="1:8" s="1" customFormat="1" ht="13.8" x14ac:dyDescent="0.25">
      <c r="A488" s="6" t="s">
        <v>54</v>
      </c>
      <c r="B488" s="7">
        <v>6.61</v>
      </c>
      <c r="C488" s="7">
        <v>2.7246502717329673</v>
      </c>
      <c r="D488" s="3">
        <v>0</v>
      </c>
      <c r="E488" s="7">
        <v>74.64</v>
      </c>
      <c r="F488" s="7">
        <v>11.3</v>
      </c>
      <c r="G488" s="2" t="s">
        <v>36</v>
      </c>
      <c r="H488" s="2" t="s">
        <v>54</v>
      </c>
    </row>
    <row r="489" spans="1:8" s="1" customFormat="1" ht="13.8" x14ac:dyDescent="0.25">
      <c r="A489" s="6" t="s">
        <v>598</v>
      </c>
      <c r="B489" s="7">
        <v>6.71</v>
      </c>
      <c r="C489" s="7">
        <v>2.7463127664254587</v>
      </c>
      <c r="D489" s="3">
        <v>0</v>
      </c>
      <c r="E489" s="7">
        <v>120.24</v>
      </c>
      <c r="F489" s="7">
        <v>17.920000000000002</v>
      </c>
      <c r="G489" s="2" t="s">
        <v>389</v>
      </c>
      <c r="H489" s="2" t="s">
        <v>599</v>
      </c>
    </row>
    <row r="490" spans="1:8" s="1" customFormat="1" ht="13.8" x14ac:dyDescent="0.25">
      <c r="A490" s="6" t="s">
        <v>70</v>
      </c>
      <c r="B490" s="7">
        <v>6.77</v>
      </c>
      <c r="C490" s="7">
        <v>2.7591558338002722</v>
      </c>
      <c r="D490" s="3">
        <v>0</v>
      </c>
      <c r="E490" s="7">
        <v>119.26</v>
      </c>
      <c r="F490" s="7">
        <v>17.62</v>
      </c>
      <c r="G490" s="2" t="s">
        <v>71</v>
      </c>
      <c r="H490" s="2" t="s">
        <v>72</v>
      </c>
    </row>
    <row r="491" spans="1:8" s="1" customFormat="1" ht="13.8" x14ac:dyDescent="0.25">
      <c r="A491" s="6" t="s">
        <v>65</v>
      </c>
      <c r="B491" s="7">
        <v>6.86</v>
      </c>
      <c r="C491" s="7">
        <v>2.7782085763980877</v>
      </c>
      <c r="D491" s="3">
        <v>3.6600000000000001E-6</v>
      </c>
      <c r="E491" s="7">
        <v>33.270000000000003</v>
      </c>
      <c r="F491" s="7">
        <v>4.8499999999999996</v>
      </c>
      <c r="G491" s="2" t="s">
        <v>36</v>
      </c>
      <c r="H491" s="2" t="s">
        <v>65</v>
      </c>
    </row>
    <row r="492" spans="1:8" s="1" customFormat="1" ht="13.8" x14ac:dyDescent="0.25">
      <c r="A492" s="6" t="s">
        <v>4</v>
      </c>
      <c r="B492" s="7">
        <v>7.18</v>
      </c>
      <c r="C492" s="7">
        <v>2.8439838440483269</v>
      </c>
      <c r="D492" s="3">
        <v>0</v>
      </c>
      <c r="E492" s="7">
        <v>488.31</v>
      </c>
      <c r="F492" s="7">
        <v>67.989999999999995</v>
      </c>
      <c r="G492" s="2" t="s">
        <v>5</v>
      </c>
      <c r="H492" s="2" t="s">
        <v>6</v>
      </c>
    </row>
    <row r="493" spans="1:8" s="1" customFormat="1" ht="13.8" x14ac:dyDescent="0.25">
      <c r="A493" s="6" t="s">
        <v>1290</v>
      </c>
      <c r="B493" s="7">
        <v>7.6</v>
      </c>
      <c r="C493" s="7">
        <v>2.925999418556223</v>
      </c>
      <c r="D493" s="3">
        <v>0</v>
      </c>
      <c r="E493" s="7">
        <v>1294.26</v>
      </c>
      <c r="F493" s="7">
        <v>170.21</v>
      </c>
      <c r="G493" s="2" t="s">
        <v>1291</v>
      </c>
      <c r="H493" s="2" t="s">
        <v>1292</v>
      </c>
    </row>
    <row r="494" spans="1:8" s="1" customFormat="1" ht="13.8" x14ac:dyDescent="0.25">
      <c r="A494" s="6" t="s">
        <v>112</v>
      </c>
      <c r="B494" s="7">
        <v>7.77</v>
      </c>
      <c r="C494" s="7">
        <v>2.9579145986329856</v>
      </c>
      <c r="D494" s="3">
        <v>0</v>
      </c>
      <c r="E494" s="7">
        <v>277.88</v>
      </c>
      <c r="F494" s="7">
        <v>35.78</v>
      </c>
      <c r="G494" s="2" t="s">
        <v>113</v>
      </c>
      <c r="H494" s="2" t="s">
        <v>114</v>
      </c>
    </row>
    <row r="495" spans="1:8" s="1" customFormat="1" ht="13.8" x14ac:dyDescent="0.25">
      <c r="A495" s="6" t="s">
        <v>1296</v>
      </c>
      <c r="B495" s="7">
        <v>8.14</v>
      </c>
      <c r="C495" s="7">
        <v>3.0250287944915226</v>
      </c>
      <c r="D495" s="3">
        <v>0</v>
      </c>
      <c r="E495" s="7">
        <v>168.91</v>
      </c>
      <c r="F495" s="7">
        <v>20.75</v>
      </c>
      <c r="G495" s="2" t="s">
        <v>507</v>
      </c>
      <c r="H495" s="2" t="s">
        <v>1297</v>
      </c>
    </row>
    <row r="496" spans="1:8" s="1" customFormat="1" ht="13.8" x14ac:dyDescent="0.25">
      <c r="A496" s="6" t="s">
        <v>1260</v>
      </c>
      <c r="B496" s="7">
        <v>8.26</v>
      </c>
      <c r="C496" s="7">
        <v>3.0461417816447209</v>
      </c>
      <c r="D496" s="3">
        <v>2.16E-7</v>
      </c>
      <c r="E496" s="7">
        <v>388.33</v>
      </c>
      <c r="F496" s="7">
        <v>47</v>
      </c>
      <c r="G496" s="2" t="s">
        <v>1261</v>
      </c>
      <c r="H496" s="2" t="s">
        <v>1262</v>
      </c>
    </row>
    <row r="497" spans="1:8" s="1" customFormat="1" ht="13.8" x14ac:dyDescent="0.25">
      <c r="A497" s="6" t="s">
        <v>137</v>
      </c>
      <c r="B497" s="7">
        <v>8.39</v>
      </c>
      <c r="C497" s="7">
        <v>3.0686708106650991</v>
      </c>
      <c r="D497" s="3">
        <v>7.7300000000000006E-15</v>
      </c>
      <c r="E497" s="7">
        <v>126.83</v>
      </c>
      <c r="F497" s="7">
        <v>15.11</v>
      </c>
      <c r="G497" s="2" t="s">
        <v>7</v>
      </c>
      <c r="H497" s="2" t="s">
        <v>137</v>
      </c>
    </row>
    <row r="498" spans="1:8" s="1" customFormat="1" ht="13.8" x14ac:dyDescent="0.25">
      <c r="A498" s="6" t="s">
        <v>301</v>
      </c>
      <c r="B498" s="7">
        <v>8.51</v>
      </c>
      <c r="C498" s="7">
        <v>3.0891591319112379</v>
      </c>
      <c r="D498" s="3">
        <v>0</v>
      </c>
      <c r="E498" s="7">
        <v>808.03</v>
      </c>
      <c r="F498" s="7">
        <v>94.98</v>
      </c>
      <c r="G498" s="2" t="s">
        <v>302</v>
      </c>
      <c r="H498" s="2" t="s">
        <v>303</v>
      </c>
    </row>
    <row r="499" spans="1:8" s="1" customFormat="1" ht="13.8" x14ac:dyDescent="0.25">
      <c r="A499" s="6" t="s">
        <v>79</v>
      </c>
      <c r="B499" s="7">
        <v>8.64</v>
      </c>
      <c r="C499" s="7">
        <v>3.1110313123887439</v>
      </c>
      <c r="D499" s="3">
        <v>0</v>
      </c>
      <c r="E499" s="7">
        <v>80.540000000000006</v>
      </c>
      <c r="F499" s="7">
        <v>9.33</v>
      </c>
      <c r="G499" s="2" t="s">
        <v>80</v>
      </c>
      <c r="H499" s="2" t="s">
        <v>81</v>
      </c>
    </row>
    <row r="500" spans="1:8" s="1" customFormat="1" ht="13.8" x14ac:dyDescent="0.25">
      <c r="A500" s="6" t="s">
        <v>765</v>
      </c>
      <c r="B500" s="7">
        <v>8.73</v>
      </c>
      <c r="C500" s="7">
        <v>3.1259816538547156</v>
      </c>
      <c r="D500" s="3">
        <v>0</v>
      </c>
      <c r="E500" s="7">
        <v>178.61</v>
      </c>
      <c r="F500" s="7">
        <v>20.47</v>
      </c>
      <c r="G500" s="2" t="s">
        <v>766</v>
      </c>
      <c r="H500" s="2" t="s">
        <v>767</v>
      </c>
    </row>
    <row r="501" spans="1:8" s="1" customFormat="1" ht="13.8" x14ac:dyDescent="0.25">
      <c r="A501" s="6" t="s">
        <v>103</v>
      </c>
      <c r="B501" s="7">
        <v>9.1300000000000008</v>
      </c>
      <c r="C501" s="7">
        <v>3.1906148602094975</v>
      </c>
      <c r="D501" s="3">
        <v>0</v>
      </c>
      <c r="E501" s="7">
        <v>482.98</v>
      </c>
      <c r="F501" s="7">
        <v>52.88</v>
      </c>
      <c r="G501" s="2" t="s">
        <v>104</v>
      </c>
      <c r="H501" s="2" t="s">
        <v>105</v>
      </c>
    </row>
    <row r="502" spans="1:8" s="1" customFormat="1" ht="13.8" x14ac:dyDescent="0.25">
      <c r="A502" s="6" t="s">
        <v>26</v>
      </c>
      <c r="B502" s="7">
        <v>10.06</v>
      </c>
      <c r="C502" s="7">
        <v>3.3305584000308026</v>
      </c>
      <c r="D502" s="3">
        <v>0</v>
      </c>
      <c r="E502" s="7">
        <v>711.88</v>
      </c>
      <c r="F502" s="7">
        <v>70.739999999999995</v>
      </c>
      <c r="G502" s="2" t="s">
        <v>27</v>
      </c>
      <c r="H502" s="2" t="s">
        <v>28</v>
      </c>
    </row>
    <row r="503" spans="1:8" s="1" customFormat="1" ht="13.8" x14ac:dyDescent="0.25">
      <c r="A503" s="6" t="s">
        <v>134</v>
      </c>
      <c r="B503" s="7">
        <v>10.09</v>
      </c>
      <c r="C503" s="7">
        <v>3.3348542693316325</v>
      </c>
      <c r="D503" s="3">
        <v>0</v>
      </c>
      <c r="E503" s="7">
        <v>2857</v>
      </c>
      <c r="F503" s="7">
        <v>283.23</v>
      </c>
      <c r="G503" s="2" t="s">
        <v>135</v>
      </c>
      <c r="H503" s="2" t="s">
        <v>136</v>
      </c>
    </row>
    <row r="504" spans="1:8" s="1" customFormat="1" ht="13.8" x14ac:dyDescent="0.25">
      <c r="A504" s="6" t="s">
        <v>1287</v>
      </c>
      <c r="B504" s="7">
        <v>12.8</v>
      </c>
      <c r="C504" s="7">
        <v>3.6780719051126378</v>
      </c>
      <c r="D504" s="3">
        <v>0</v>
      </c>
      <c r="E504" s="7">
        <v>236.46</v>
      </c>
      <c r="F504" s="7">
        <v>18.47</v>
      </c>
      <c r="G504" s="2" t="s">
        <v>1288</v>
      </c>
      <c r="H504" s="2" t="s">
        <v>1289</v>
      </c>
    </row>
    <row r="505" spans="1:8" s="1" customFormat="1" ht="13.8" x14ac:dyDescent="0.25">
      <c r="A505" s="6" t="s">
        <v>50</v>
      </c>
      <c r="B505" s="7">
        <v>14.34</v>
      </c>
      <c r="C505" s="7">
        <v>3.84197311892718</v>
      </c>
      <c r="D505" s="3">
        <v>1.7499999999999999E-10</v>
      </c>
      <c r="E505" s="7">
        <v>2952.12</v>
      </c>
      <c r="F505" s="7">
        <v>205.9</v>
      </c>
      <c r="G505" s="2" t="s">
        <v>7</v>
      </c>
      <c r="H505" s="2" t="s">
        <v>50</v>
      </c>
    </row>
    <row r="506" spans="1:8" s="1" customFormat="1" ht="13.8" x14ac:dyDescent="0.25">
      <c r="A506" s="6" t="s">
        <v>8</v>
      </c>
      <c r="B506" s="7">
        <v>14.82</v>
      </c>
      <c r="C506" s="7">
        <v>3.8894735425311096</v>
      </c>
      <c r="D506" s="3">
        <v>0</v>
      </c>
      <c r="E506" s="7">
        <v>3187.35</v>
      </c>
      <c r="F506" s="7">
        <v>215.04</v>
      </c>
      <c r="G506" s="2" t="s">
        <v>9</v>
      </c>
      <c r="H506" s="2" t="s">
        <v>10</v>
      </c>
    </row>
    <row r="507" spans="1:8" s="1" customFormat="1" ht="13.8" x14ac:dyDescent="0.25">
      <c r="A507" s="6" t="s">
        <v>1304</v>
      </c>
      <c r="B507" s="7">
        <v>15.2</v>
      </c>
      <c r="C507" s="7">
        <v>3.925999418556223</v>
      </c>
      <c r="D507" s="3">
        <v>0</v>
      </c>
      <c r="E507" s="7">
        <v>73.12</v>
      </c>
      <c r="F507" s="7">
        <v>4.8099999999999996</v>
      </c>
      <c r="G507" s="2" t="s">
        <v>1218</v>
      </c>
      <c r="H507" s="2" t="s">
        <v>1305</v>
      </c>
    </row>
    <row r="508" spans="1:8" s="1" customFormat="1" ht="13.8" x14ac:dyDescent="0.25">
      <c r="A508" s="6" t="s">
        <v>143</v>
      </c>
      <c r="B508" s="7">
        <v>15.61</v>
      </c>
      <c r="C508" s="7">
        <v>3.9643986322031841</v>
      </c>
      <c r="D508" s="3">
        <v>0</v>
      </c>
      <c r="E508" s="7">
        <v>648.82000000000005</v>
      </c>
      <c r="F508" s="7">
        <v>41.56</v>
      </c>
      <c r="G508" s="2" t="s">
        <v>7</v>
      </c>
      <c r="H508" s="2" t="s">
        <v>144</v>
      </c>
    </row>
    <row r="509" spans="1:8" s="1" customFormat="1" ht="13.8" x14ac:dyDescent="0.25">
      <c r="A509" s="6" t="s">
        <v>29</v>
      </c>
      <c r="B509" s="7">
        <v>16.010000000000002</v>
      </c>
      <c r="C509" s="7">
        <v>4.0009014027415324</v>
      </c>
      <c r="D509" s="3">
        <v>0</v>
      </c>
      <c r="E509" s="7">
        <v>131.37</v>
      </c>
      <c r="F509" s="7">
        <v>8.2100000000000009</v>
      </c>
      <c r="G509" s="2" t="s">
        <v>30</v>
      </c>
      <c r="H509" s="2" t="s">
        <v>31</v>
      </c>
    </row>
    <row r="510" spans="1:8" s="1" customFormat="1" ht="13.8" x14ac:dyDescent="0.25">
      <c r="A510" s="6" t="s">
        <v>1298</v>
      </c>
      <c r="B510" s="7">
        <v>16.89</v>
      </c>
      <c r="C510" s="7">
        <v>4.0780974230266613</v>
      </c>
      <c r="D510" s="3">
        <v>0</v>
      </c>
      <c r="E510" s="7">
        <v>649.14</v>
      </c>
      <c r="F510" s="7">
        <v>38.44</v>
      </c>
      <c r="G510" s="2" t="s">
        <v>7</v>
      </c>
      <c r="H510" s="2" t="s">
        <v>1299</v>
      </c>
    </row>
    <row r="511" spans="1:8" s="1" customFormat="1" ht="13.8" x14ac:dyDescent="0.25">
      <c r="A511" s="6" t="s">
        <v>55</v>
      </c>
      <c r="B511" s="7">
        <v>17.61</v>
      </c>
      <c r="C511" s="7">
        <v>4.1383230040564838</v>
      </c>
      <c r="D511" s="3">
        <v>0</v>
      </c>
      <c r="E511" s="7">
        <v>123.92</v>
      </c>
      <c r="F511" s="7">
        <v>7.04</v>
      </c>
      <c r="G511" s="2" t="s">
        <v>56</v>
      </c>
      <c r="H511" s="2" t="s">
        <v>57</v>
      </c>
    </row>
    <row r="512" spans="1:8" s="1" customFormat="1" ht="13.8" x14ac:dyDescent="0.25">
      <c r="A512" s="6" t="s">
        <v>1300</v>
      </c>
      <c r="B512" s="7">
        <v>18.07</v>
      </c>
      <c r="C512" s="7">
        <v>4.175524601089875</v>
      </c>
      <c r="D512" s="3">
        <v>0</v>
      </c>
      <c r="E512" s="7">
        <v>78.12</v>
      </c>
      <c r="F512" s="7">
        <v>4.32</v>
      </c>
      <c r="G512" s="2" t="s">
        <v>1237</v>
      </c>
      <c r="H512" s="2" t="s">
        <v>1301</v>
      </c>
    </row>
    <row r="513" spans="1:8" s="1" customFormat="1" ht="13.8" x14ac:dyDescent="0.25">
      <c r="A513" s="6" t="s">
        <v>84</v>
      </c>
      <c r="B513" s="7">
        <v>18.170000000000002</v>
      </c>
      <c r="C513" s="7">
        <v>4.1834865144593909</v>
      </c>
      <c r="D513" s="3">
        <v>0</v>
      </c>
      <c r="E513" s="7">
        <v>3758.54</v>
      </c>
      <c r="F513" s="7">
        <v>206.84</v>
      </c>
      <c r="G513" s="2" t="s">
        <v>85</v>
      </c>
      <c r="H513" s="2" t="s">
        <v>86</v>
      </c>
    </row>
    <row r="514" spans="1:8" s="1" customFormat="1" ht="13.8" x14ac:dyDescent="0.25">
      <c r="A514" s="6" t="s">
        <v>172</v>
      </c>
      <c r="B514" s="7">
        <v>18.47</v>
      </c>
      <c r="C514" s="7">
        <v>4.2071119612077137</v>
      </c>
      <c r="D514" s="3">
        <v>0</v>
      </c>
      <c r="E514" s="7">
        <v>49.06</v>
      </c>
      <c r="F514" s="7">
        <v>2.66</v>
      </c>
      <c r="G514" s="2" t="s">
        <v>7</v>
      </c>
      <c r="H514" s="2" t="s">
        <v>172</v>
      </c>
    </row>
    <row r="515" spans="1:8" s="1" customFormat="1" ht="13.8" x14ac:dyDescent="0.25">
      <c r="A515" s="6" t="s">
        <v>90</v>
      </c>
      <c r="B515" s="7">
        <v>20.94</v>
      </c>
      <c r="C515" s="7">
        <v>4.3881895371560846</v>
      </c>
      <c r="D515" s="3">
        <v>1.0299999999999999E-14</v>
      </c>
      <c r="E515" s="7">
        <v>1079.25</v>
      </c>
      <c r="F515" s="7">
        <v>51.55</v>
      </c>
      <c r="G515" s="2" t="s">
        <v>85</v>
      </c>
      <c r="H515" s="2" t="s">
        <v>91</v>
      </c>
    </row>
    <row r="516" spans="1:8" s="1" customFormat="1" ht="13.8" x14ac:dyDescent="0.25">
      <c r="A516" s="6" t="s">
        <v>286</v>
      </c>
      <c r="B516" s="7">
        <v>24.04</v>
      </c>
      <c r="C516" s="7">
        <v>4.5873649909364609</v>
      </c>
      <c r="D516" s="3">
        <v>0</v>
      </c>
      <c r="E516" s="7">
        <v>373.96</v>
      </c>
      <c r="F516" s="7">
        <v>15.55</v>
      </c>
      <c r="G516" s="2" t="s">
        <v>287</v>
      </c>
      <c r="H516" s="2" t="s">
        <v>288</v>
      </c>
    </row>
    <row r="517" spans="1:8" s="1" customFormat="1" ht="13.8" x14ac:dyDescent="0.25">
      <c r="A517" s="6" t="s">
        <v>204</v>
      </c>
      <c r="B517" s="7">
        <v>26.02</v>
      </c>
      <c r="C517" s="7">
        <v>4.7015490569430707</v>
      </c>
      <c r="D517" s="3">
        <v>0</v>
      </c>
      <c r="E517" s="7">
        <v>7559.75</v>
      </c>
      <c r="F517" s="7">
        <v>290.54000000000002</v>
      </c>
      <c r="G517" s="2" t="s">
        <v>205</v>
      </c>
      <c r="H517" s="2" t="s">
        <v>206</v>
      </c>
    </row>
    <row r="518" spans="1:8" s="1" customFormat="1" ht="13.8" x14ac:dyDescent="0.25">
      <c r="A518" s="6" t="s">
        <v>1302</v>
      </c>
      <c r="B518" s="7">
        <v>27.43</v>
      </c>
      <c r="C518" s="7">
        <v>4.777682717073553</v>
      </c>
      <c r="D518" s="3">
        <v>0</v>
      </c>
      <c r="E518" s="7">
        <v>552.22</v>
      </c>
      <c r="F518" s="7">
        <v>20.13</v>
      </c>
      <c r="G518" s="2" t="s">
        <v>151</v>
      </c>
      <c r="H518" s="2" t="s">
        <v>1303</v>
      </c>
    </row>
    <row r="519" spans="1:8" s="1" customFormat="1" ht="13.8" x14ac:dyDescent="0.25">
      <c r="A519" s="6" t="s">
        <v>252</v>
      </c>
      <c r="B519" s="7">
        <v>33.46</v>
      </c>
      <c r="C519" s="7">
        <v>5.0643655402636281</v>
      </c>
      <c r="D519" s="3">
        <v>0</v>
      </c>
      <c r="E519" s="7">
        <v>1366.08</v>
      </c>
      <c r="F519" s="7">
        <v>40.83</v>
      </c>
      <c r="G519" s="2" t="s">
        <v>253</v>
      </c>
      <c r="H519" s="2" t="s">
        <v>254</v>
      </c>
    </row>
    <row r="520" spans="1:8" s="1" customFormat="1" ht="13.8" x14ac:dyDescent="0.25">
      <c r="A520" s="6" t="s">
        <v>138</v>
      </c>
      <c r="B520" s="7">
        <v>70.8</v>
      </c>
      <c r="C520" s="7">
        <v>6.145677455195635</v>
      </c>
      <c r="D520" s="3">
        <v>0</v>
      </c>
      <c r="E520" s="7">
        <v>140.46</v>
      </c>
      <c r="F520" s="7">
        <v>1.98</v>
      </c>
      <c r="G520" s="2" t="s">
        <v>36</v>
      </c>
      <c r="H520" s="2" t="s">
        <v>139</v>
      </c>
    </row>
    <row r="521" spans="1:8" s="1" customFormat="1" ht="13.8" x14ac:dyDescent="0.25">
      <c r="A521" s="6" t="s">
        <v>224</v>
      </c>
      <c r="B521" s="7">
        <v>91.77</v>
      </c>
      <c r="C521" s="7">
        <v>6.5199507025046337</v>
      </c>
      <c r="D521" s="3">
        <v>0</v>
      </c>
      <c r="E521" s="7">
        <v>5063.3</v>
      </c>
      <c r="F521" s="7">
        <v>55.17</v>
      </c>
      <c r="G521" s="2" t="s">
        <v>225</v>
      </c>
      <c r="H521" s="2" t="s">
        <v>226</v>
      </c>
    </row>
    <row r="522" spans="1:8" s="1" customFormat="1" ht="13.8" x14ac:dyDescent="0.25">
      <c r="A522" s="6" t="s">
        <v>150</v>
      </c>
      <c r="B522" s="7">
        <v>94.62</v>
      </c>
      <c r="C522" s="7">
        <v>6.5640732557369423</v>
      </c>
      <c r="D522" s="3">
        <v>0</v>
      </c>
      <c r="E522" s="7">
        <v>1637.14</v>
      </c>
      <c r="F522" s="7">
        <v>17.3</v>
      </c>
      <c r="G522" s="2" t="s">
        <v>151</v>
      </c>
      <c r="H522" s="2" t="s">
        <v>152</v>
      </c>
    </row>
    <row r="523" spans="1:8" x14ac:dyDescent="0.3">
      <c r="D523" s="3"/>
    </row>
    <row r="524" spans="1:8" x14ac:dyDescent="0.3">
      <c r="D524" s="3"/>
    </row>
  </sheetData>
  <autoFilter ref="A2:D524"/>
  <mergeCells count="5">
    <mergeCell ref="A2:A3"/>
    <mergeCell ref="B2:B3"/>
    <mergeCell ref="C2:C3"/>
    <mergeCell ref="G2:H2"/>
    <mergeCell ref="A1:H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zoomScale="80" zoomScaleNormal="80" workbookViewId="0">
      <selection activeCell="B16" sqref="B16"/>
    </sheetView>
  </sheetViews>
  <sheetFormatPr defaultRowHeight="14.4" x14ac:dyDescent="0.3"/>
  <cols>
    <col min="1" max="1" width="12.21875" style="2" bestFit="1" customWidth="1"/>
    <col min="2" max="2" width="21.77734375" style="2" bestFit="1" customWidth="1"/>
    <col min="3" max="3" width="22.5546875" style="2" bestFit="1" customWidth="1"/>
    <col min="4" max="4" width="25.6640625" style="2" bestFit="1" customWidth="1"/>
    <col min="5" max="5" width="33.109375" style="2" bestFit="1" customWidth="1"/>
    <col min="6" max="6" width="34.44140625" style="2" bestFit="1" customWidth="1"/>
    <col min="7" max="7" width="28.21875" style="2" customWidth="1"/>
    <col min="8" max="8" width="11.44140625" style="2" customWidth="1"/>
  </cols>
  <sheetData>
    <row r="1" spans="1:8" ht="25.8" customHeight="1" x14ac:dyDescent="0.3">
      <c r="A1" s="13" t="s">
        <v>1392</v>
      </c>
      <c r="B1" s="13"/>
      <c r="C1" s="13"/>
      <c r="D1" s="13"/>
      <c r="E1" s="13"/>
      <c r="F1" s="13"/>
      <c r="G1" s="13"/>
      <c r="H1" s="13"/>
    </row>
    <row r="2" spans="1:8" ht="26.4" customHeight="1" x14ac:dyDescent="0.3">
      <c r="A2" s="9" t="s">
        <v>0</v>
      </c>
      <c r="B2" s="10" t="s">
        <v>1037</v>
      </c>
      <c r="C2" s="11" t="s">
        <v>1389</v>
      </c>
      <c r="D2" s="4" t="s">
        <v>1038</v>
      </c>
      <c r="E2" s="5" t="s">
        <v>1042</v>
      </c>
      <c r="F2" s="5" t="s">
        <v>1041</v>
      </c>
      <c r="G2" s="9" t="s">
        <v>1039</v>
      </c>
      <c r="H2" s="9"/>
    </row>
    <row r="3" spans="1:8" x14ac:dyDescent="0.3">
      <c r="A3" s="9"/>
      <c r="B3" s="10"/>
      <c r="C3" s="12"/>
      <c r="D3" s="4" t="s">
        <v>1</v>
      </c>
      <c r="E3" s="4" t="s">
        <v>1040</v>
      </c>
      <c r="F3" s="4" t="s">
        <v>1040</v>
      </c>
      <c r="G3" s="4" t="s">
        <v>2</v>
      </c>
      <c r="H3" s="4" t="s">
        <v>3</v>
      </c>
    </row>
    <row r="4" spans="1:8" s="1" customFormat="1" ht="13.8" x14ac:dyDescent="0.25">
      <c r="A4" s="6" t="s">
        <v>577</v>
      </c>
      <c r="B4" s="7">
        <v>-8.51</v>
      </c>
      <c r="C4" s="7">
        <f t="shared" ref="C4:C6" si="0">-LOG(-B4,2)</f>
        <v>-3.0891591319112379</v>
      </c>
      <c r="D4" s="3">
        <v>1.05E-33</v>
      </c>
      <c r="E4" s="7">
        <v>25.05</v>
      </c>
      <c r="F4" s="7">
        <v>213.19</v>
      </c>
      <c r="G4" s="2" t="s">
        <v>578</v>
      </c>
      <c r="H4" s="2" t="s">
        <v>579</v>
      </c>
    </row>
    <row r="5" spans="1:8" s="1" customFormat="1" ht="13.8" x14ac:dyDescent="0.25">
      <c r="A5" s="6" t="s">
        <v>795</v>
      </c>
      <c r="B5" s="7">
        <v>-6.36</v>
      </c>
      <c r="C5" s="7">
        <f t="shared" si="0"/>
        <v>-2.6690267655096309</v>
      </c>
      <c r="D5" s="3">
        <v>1.84E-39</v>
      </c>
      <c r="E5" s="7">
        <v>82.38</v>
      </c>
      <c r="F5" s="7">
        <v>523.82000000000005</v>
      </c>
      <c r="G5" s="2" t="s">
        <v>796</v>
      </c>
      <c r="H5" s="2" t="s">
        <v>797</v>
      </c>
    </row>
    <row r="6" spans="1:8" s="1" customFormat="1" ht="13.8" x14ac:dyDescent="0.25">
      <c r="A6" s="6" t="s">
        <v>931</v>
      </c>
      <c r="B6" s="7">
        <v>-5.89</v>
      </c>
      <c r="C6" s="7">
        <f t="shared" si="0"/>
        <v>-2.5582676340557358</v>
      </c>
      <c r="D6" s="3">
        <v>4.3199999999999999E-91</v>
      </c>
      <c r="E6" s="7">
        <v>41.27</v>
      </c>
      <c r="F6" s="7">
        <v>242.91</v>
      </c>
      <c r="G6" s="2" t="s">
        <v>932</v>
      </c>
      <c r="H6" s="2" t="s">
        <v>933</v>
      </c>
    </row>
    <row r="7" spans="1:8" s="1" customFormat="1" ht="13.8" x14ac:dyDescent="0.25">
      <c r="A7" s="6" t="s">
        <v>574</v>
      </c>
      <c r="B7" s="7">
        <v>-4.13</v>
      </c>
      <c r="C7" s="7">
        <v>-2.0461417816447205</v>
      </c>
      <c r="D7" s="3">
        <v>3.8599999999999998E-21</v>
      </c>
      <c r="E7" s="7">
        <v>25.49</v>
      </c>
      <c r="F7" s="7">
        <v>105.27</v>
      </c>
      <c r="G7" s="2" t="s">
        <v>575</v>
      </c>
      <c r="H7" s="2" t="s">
        <v>576</v>
      </c>
    </row>
    <row r="8" spans="1:8" s="1" customFormat="1" ht="13.8" x14ac:dyDescent="0.25">
      <c r="A8" s="6" t="s">
        <v>588</v>
      </c>
      <c r="B8" s="7">
        <v>-3.38</v>
      </c>
      <c r="C8" s="7">
        <f t="shared" ref="C8" si="1">-LOG(-B8,2)</f>
        <v>-1.7570232465074596</v>
      </c>
      <c r="D8" s="3">
        <v>3.4599999999999998E-50</v>
      </c>
      <c r="E8" s="7">
        <v>58.79</v>
      </c>
      <c r="F8" s="7">
        <v>198.5</v>
      </c>
      <c r="G8" s="2" t="s">
        <v>589</v>
      </c>
      <c r="H8" s="2" t="s">
        <v>590</v>
      </c>
    </row>
    <row r="9" spans="1:8" s="1" customFormat="1" ht="13.8" x14ac:dyDescent="0.25">
      <c r="A9" s="6" t="s">
        <v>207</v>
      </c>
      <c r="B9" s="7">
        <v>-3.33</v>
      </c>
      <c r="C9" s="7">
        <f>-LOG(-B9,2)</f>
        <v>-1.7355221772965377</v>
      </c>
      <c r="D9" s="3">
        <v>8.8899999999999996E-6</v>
      </c>
      <c r="E9" s="7">
        <v>6.19</v>
      </c>
      <c r="F9" s="7">
        <v>20.6</v>
      </c>
      <c r="G9" s="2" t="s">
        <v>208</v>
      </c>
      <c r="H9" s="2" t="s">
        <v>209</v>
      </c>
    </row>
    <row r="10" spans="1:8" s="1" customFormat="1" ht="13.8" x14ac:dyDescent="0.25">
      <c r="A10" s="6" t="s">
        <v>433</v>
      </c>
      <c r="B10" s="7">
        <v>-3.25</v>
      </c>
      <c r="C10" s="7">
        <v>-1.7004397181410922</v>
      </c>
      <c r="D10" s="3">
        <v>1.9000000000000001E-8</v>
      </c>
      <c r="E10" s="7">
        <v>9.9600000000000009</v>
      </c>
      <c r="F10" s="7">
        <v>32.380000000000003</v>
      </c>
      <c r="G10" s="2" t="s">
        <v>380</v>
      </c>
      <c r="H10" s="2" t="s">
        <v>434</v>
      </c>
    </row>
    <row r="11" spans="1:8" s="1" customFormat="1" ht="13.8" x14ac:dyDescent="0.25">
      <c r="A11" s="6" t="s">
        <v>361</v>
      </c>
      <c r="B11" s="7">
        <v>-3</v>
      </c>
      <c r="C11" s="7">
        <f t="shared" ref="C11:C14" si="2">-LOG(-B11,2)</f>
        <v>-1.5849625007211563</v>
      </c>
      <c r="D11" s="3">
        <v>2.5300000000000002E-16</v>
      </c>
      <c r="E11" s="7">
        <v>24.08</v>
      </c>
      <c r="F11" s="7">
        <v>72.16</v>
      </c>
      <c r="G11" s="2" t="s">
        <v>362</v>
      </c>
      <c r="H11" s="2" t="s">
        <v>363</v>
      </c>
    </row>
    <row r="12" spans="1:8" s="1" customFormat="1" ht="13.8" x14ac:dyDescent="0.25">
      <c r="A12" s="6" t="s">
        <v>1002</v>
      </c>
      <c r="B12" s="7">
        <v>-2.57</v>
      </c>
      <c r="C12" s="7">
        <f t="shared" si="2"/>
        <v>-1.3617683594191534</v>
      </c>
      <c r="D12" s="3">
        <v>2.29E-11</v>
      </c>
      <c r="E12" s="7">
        <v>23.75</v>
      </c>
      <c r="F12" s="7">
        <v>61.02</v>
      </c>
      <c r="G12" s="2" t="s">
        <v>1003</v>
      </c>
      <c r="H12" s="2" t="s">
        <v>1004</v>
      </c>
    </row>
    <row r="13" spans="1:8" s="1" customFormat="1" ht="13.8" x14ac:dyDescent="0.25">
      <c r="A13" s="6" t="s">
        <v>1327</v>
      </c>
      <c r="B13" s="7">
        <v>-2.1</v>
      </c>
      <c r="C13" s="7">
        <f t="shared" si="2"/>
        <v>-1.0703893278913981</v>
      </c>
      <c r="D13" s="3">
        <v>1.12E-4</v>
      </c>
      <c r="E13" s="7">
        <v>15.39</v>
      </c>
      <c r="F13" s="7">
        <v>32.380000000000003</v>
      </c>
      <c r="G13" s="2" t="s">
        <v>1328</v>
      </c>
      <c r="H13" s="2" t="s">
        <v>1329</v>
      </c>
    </row>
    <row r="14" spans="1:8" s="1" customFormat="1" ht="13.8" x14ac:dyDescent="0.25">
      <c r="A14" s="6" t="s">
        <v>257</v>
      </c>
      <c r="B14" s="7">
        <v>-2</v>
      </c>
      <c r="C14" s="7">
        <f t="shared" si="2"/>
        <v>-1</v>
      </c>
      <c r="D14" s="3">
        <v>2.74E-11</v>
      </c>
      <c r="E14" s="7">
        <v>48.65</v>
      </c>
      <c r="F14" s="7">
        <v>97.39</v>
      </c>
      <c r="G14" s="2" t="s">
        <v>258</v>
      </c>
      <c r="H14" s="2" t="s">
        <v>259</v>
      </c>
    </row>
    <row r="15" spans="1:8" s="1" customFormat="1" ht="13.8" x14ac:dyDescent="0.25">
      <c r="A15" s="6" t="s">
        <v>1347</v>
      </c>
      <c r="B15" s="7">
        <v>2.17</v>
      </c>
      <c r="C15" s="7">
        <f t="shared" ref="C15:C22" si="3">LOG(B15,2)</f>
        <v>1.1176950426697545</v>
      </c>
      <c r="D15" s="3">
        <v>2.7799999999999999E-9</v>
      </c>
      <c r="E15" s="7">
        <v>66.16</v>
      </c>
      <c r="F15" s="7">
        <v>30.48</v>
      </c>
      <c r="G15" s="2" t="s">
        <v>1348</v>
      </c>
      <c r="H15" s="2" t="s">
        <v>1349</v>
      </c>
    </row>
    <row r="16" spans="1:8" s="1" customFormat="1" ht="13.8" x14ac:dyDescent="0.25">
      <c r="A16" s="6" t="s">
        <v>217</v>
      </c>
      <c r="B16" s="7">
        <v>2.59</v>
      </c>
      <c r="C16" s="7">
        <f t="shared" si="3"/>
        <v>1.3729520979118293</v>
      </c>
      <c r="D16" s="3">
        <v>2.03E-6</v>
      </c>
      <c r="E16" s="7">
        <v>32.17</v>
      </c>
      <c r="F16" s="7">
        <v>12.42</v>
      </c>
      <c r="G16" s="2" t="s">
        <v>218</v>
      </c>
      <c r="H16" s="2" t="s">
        <v>219</v>
      </c>
    </row>
    <row r="17" spans="1:8" s="1" customFormat="1" ht="13.8" x14ac:dyDescent="0.25">
      <c r="A17" s="6" t="s">
        <v>58</v>
      </c>
      <c r="B17" s="7">
        <v>2.68</v>
      </c>
      <c r="C17" s="7">
        <f t="shared" si="3"/>
        <v>1.4222330006830479</v>
      </c>
      <c r="D17" s="3">
        <v>0</v>
      </c>
      <c r="E17" s="7">
        <v>93.13</v>
      </c>
      <c r="F17" s="7">
        <v>34.729999999999997</v>
      </c>
      <c r="G17" s="2" t="s">
        <v>59</v>
      </c>
      <c r="H17" s="2" t="s">
        <v>60</v>
      </c>
    </row>
    <row r="18" spans="1:8" s="1" customFormat="1" ht="13.8" x14ac:dyDescent="0.25">
      <c r="A18" s="6" t="s">
        <v>121</v>
      </c>
      <c r="B18" s="7">
        <v>2.68</v>
      </c>
      <c r="C18" s="7">
        <f t="shared" si="3"/>
        <v>1.4222330006830479</v>
      </c>
      <c r="D18" s="3">
        <v>9.1600000000000004E-5</v>
      </c>
      <c r="E18" s="7">
        <v>21.56</v>
      </c>
      <c r="F18" s="7">
        <v>8.0399999999999991</v>
      </c>
      <c r="G18" s="2" t="s">
        <v>122</v>
      </c>
      <c r="H18" s="2" t="s">
        <v>123</v>
      </c>
    </row>
    <row r="19" spans="1:8" s="1" customFormat="1" ht="13.8" x14ac:dyDescent="0.25">
      <c r="A19" s="6" t="s">
        <v>1162</v>
      </c>
      <c r="B19" s="7">
        <v>2.4300000000000002</v>
      </c>
      <c r="C19" s="7">
        <f t="shared" si="3"/>
        <v>1.2809563138310562</v>
      </c>
      <c r="D19" s="3">
        <v>1.1999999999999999E-6</v>
      </c>
      <c r="E19" s="7">
        <v>37.06</v>
      </c>
      <c r="F19" s="7">
        <v>15.25</v>
      </c>
      <c r="G19" s="2" t="s">
        <v>1163</v>
      </c>
      <c r="H19" s="2" t="s">
        <v>1164</v>
      </c>
    </row>
    <row r="20" spans="1:8" s="1" customFormat="1" ht="13.8" x14ac:dyDescent="0.25">
      <c r="A20" s="6" t="s">
        <v>1160</v>
      </c>
      <c r="B20" s="7">
        <v>3.39</v>
      </c>
      <c r="C20" s="7">
        <f t="shared" si="3"/>
        <v>1.7612852733616193</v>
      </c>
      <c r="D20" s="3">
        <v>0</v>
      </c>
      <c r="E20" s="7">
        <v>61.44</v>
      </c>
      <c r="F20" s="7">
        <v>18.100000000000001</v>
      </c>
      <c r="G20" s="2" t="s">
        <v>878</v>
      </c>
      <c r="H20" s="2" t="s">
        <v>1161</v>
      </c>
    </row>
    <row r="21" spans="1:8" s="1" customFormat="1" ht="13.8" x14ac:dyDescent="0.25">
      <c r="A21" s="6" t="s">
        <v>632</v>
      </c>
      <c r="B21" s="7">
        <v>3.4</v>
      </c>
      <c r="C21" s="7">
        <f t="shared" si="3"/>
        <v>1.7655347463629771</v>
      </c>
      <c r="D21" s="3">
        <v>0</v>
      </c>
      <c r="E21" s="7">
        <v>161.21</v>
      </c>
      <c r="F21" s="7">
        <v>47.43</v>
      </c>
      <c r="G21" s="2" t="s">
        <v>633</v>
      </c>
      <c r="H21" s="2" t="s">
        <v>634</v>
      </c>
    </row>
    <row r="22" spans="1:8" s="1" customFormat="1" ht="13.8" x14ac:dyDescent="0.25">
      <c r="A22" s="6" t="s">
        <v>67</v>
      </c>
      <c r="B22" s="7">
        <v>6.12</v>
      </c>
      <c r="C22" s="7">
        <f t="shared" si="3"/>
        <v>2.6135316529179273</v>
      </c>
      <c r="D22" s="3">
        <v>0</v>
      </c>
      <c r="E22" s="7">
        <v>143.78</v>
      </c>
      <c r="F22" s="7">
        <v>23.48</v>
      </c>
      <c r="G22" s="2" t="s">
        <v>68</v>
      </c>
      <c r="H22" s="2" t="s">
        <v>69</v>
      </c>
    </row>
  </sheetData>
  <mergeCells count="5">
    <mergeCell ref="A2:A3"/>
    <mergeCell ref="B2:B3"/>
    <mergeCell ref="C2:C3"/>
    <mergeCell ref="G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zoomScale="80" zoomScaleNormal="8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XFD1"/>
    </sheetView>
  </sheetViews>
  <sheetFormatPr defaultRowHeight="14.4" x14ac:dyDescent="0.3"/>
  <cols>
    <col min="1" max="1" width="12.21875" style="2" bestFit="1" customWidth="1"/>
    <col min="2" max="2" width="37.21875" style="2" bestFit="1" customWidth="1"/>
    <col min="3" max="3" width="24" style="2" customWidth="1"/>
    <col min="4" max="4" width="22" style="2" customWidth="1"/>
    <col min="5" max="5" width="25.6640625" style="2" bestFit="1" customWidth="1"/>
    <col min="6" max="6" width="33.109375" style="2" bestFit="1" customWidth="1"/>
    <col min="7" max="7" width="34.44140625" style="2" bestFit="1" customWidth="1"/>
    <col min="8" max="8" width="52.21875" style="2" customWidth="1"/>
    <col min="9" max="9" width="15.77734375" style="2" customWidth="1"/>
  </cols>
  <sheetData>
    <row r="1" spans="1:9" ht="25.8" customHeight="1" x14ac:dyDescent="0.3">
      <c r="A1" s="13" t="s">
        <v>1393</v>
      </c>
      <c r="B1" s="13"/>
      <c r="C1" s="13"/>
      <c r="D1" s="13"/>
      <c r="E1" s="13"/>
      <c r="F1" s="13"/>
      <c r="G1" s="13"/>
      <c r="H1" s="13"/>
      <c r="I1" s="13"/>
    </row>
    <row r="2" spans="1:9" ht="26.4" customHeight="1" x14ac:dyDescent="0.3">
      <c r="A2" s="9" t="s">
        <v>0</v>
      </c>
      <c r="B2" s="10" t="s">
        <v>1384</v>
      </c>
      <c r="C2" s="10" t="s">
        <v>1037</v>
      </c>
      <c r="D2" s="11" t="s">
        <v>1389</v>
      </c>
      <c r="E2" s="4" t="s">
        <v>1038</v>
      </c>
      <c r="F2" s="5" t="s">
        <v>1042</v>
      </c>
      <c r="G2" s="5" t="s">
        <v>1041</v>
      </c>
      <c r="H2" s="9" t="s">
        <v>1039</v>
      </c>
      <c r="I2" s="9"/>
    </row>
    <row r="3" spans="1:9" x14ac:dyDescent="0.3">
      <c r="A3" s="9"/>
      <c r="B3" s="10"/>
      <c r="C3" s="10"/>
      <c r="D3" s="12"/>
      <c r="E3" s="4" t="s">
        <v>1</v>
      </c>
      <c r="F3" s="4" t="s">
        <v>1040</v>
      </c>
      <c r="G3" s="4" t="s">
        <v>1040</v>
      </c>
      <c r="H3" s="4" t="s">
        <v>2</v>
      </c>
      <c r="I3" s="4" t="s">
        <v>3</v>
      </c>
    </row>
    <row r="4" spans="1:9" s="1" customFormat="1" ht="13.8" x14ac:dyDescent="0.25">
      <c r="A4" s="6" t="s">
        <v>1318</v>
      </c>
      <c r="B4" s="7" t="s">
        <v>1385</v>
      </c>
      <c r="C4" s="7">
        <v>-2.29</v>
      </c>
      <c r="D4" s="7">
        <v>-1.1953475983222193</v>
      </c>
      <c r="E4" s="3">
        <v>8.8500000000000005E-8</v>
      </c>
      <c r="F4" s="7">
        <v>36.67</v>
      </c>
      <c r="G4" s="7">
        <v>84.01</v>
      </c>
      <c r="H4" s="2" t="s">
        <v>1319</v>
      </c>
      <c r="I4" s="2" t="s">
        <v>1320</v>
      </c>
    </row>
    <row r="5" spans="1:9" s="1" customFormat="1" ht="13.8" x14ac:dyDescent="0.25">
      <c r="A5" s="6" t="s">
        <v>1060</v>
      </c>
      <c r="B5" s="7" t="s">
        <v>1385</v>
      </c>
      <c r="C5" s="7">
        <v>-2.25</v>
      </c>
      <c r="D5" s="7">
        <v>-1.1699250014423124</v>
      </c>
      <c r="E5" s="3">
        <v>3.26E-23</v>
      </c>
      <c r="F5" s="7">
        <v>71.91</v>
      </c>
      <c r="G5" s="7">
        <v>161.78</v>
      </c>
      <c r="H5" s="2" t="s">
        <v>1061</v>
      </c>
      <c r="I5" s="2" t="s">
        <v>1062</v>
      </c>
    </row>
    <row r="6" spans="1:9" s="1" customFormat="1" ht="13.8" x14ac:dyDescent="0.25">
      <c r="A6" s="6" t="s">
        <v>115</v>
      </c>
      <c r="B6" s="7" t="s">
        <v>1386</v>
      </c>
      <c r="C6" s="7">
        <v>3.54</v>
      </c>
      <c r="D6" s="7">
        <v>1.8237493603082728</v>
      </c>
      <c r="E6" s="3">
        <v>0</v>
      </c>
      <c r="F6" s="7">
        <v>265.11</v>
      </c>
      <c r="G6" s="7">
        <v>74.930000000000007</v>
      </c>
      <c r="H6" s="2" t="s">
        <v>116</v>
      </c>
      <c r="I6" s="2" t="s">
        <v>117</v>
      </c>
    </row>
    <row r="7" spans="1:9" s="1" customFormat="1" ht="13.8" x14ac:dyDescent="0.25">
      <c r="A7" s="6" t="s">
        <v>882</v>
      </c>
      <c r="B7" s="7" t="s">
        <v>1386</v>
      </c>
      <c r="C7" s="7">
        <v>-4.0199999999999996</v>
      </c>
      <c r="D7" s="7">
        <v>-2.0071955014042038</v>
      </c>
      <c r="E7" s="3">
        <v>2.15E-27</v>
      </c>
      <c r="F7" s="7">
        <v>22.53</v>
      </c>
      <c r="G7" s="7">
        <v>90.6</v>
      </c>
      <c r="H7" s="2" t="s">
        <v>883</v>
      </c>
      <c r="I7" s="2" t="s">
        <v>884</v>
      </c>
    </row>
    <row r="8" spans="1:9" s="1" customFormat="1" ht="13.8" x14ac:dyDescent="0.25">
      <c r="A8" s="6" t="s">
        <v>1180</v>
      </c>
      <c r="B8" s="7" t="s">
        <v>1387</v>
      </c>
      <c r="C8" s="7">
        <v>4.3499999999999996</v>
      </c>
      <c r="D8" s="7">
        <v>2.1210154009613658</v>
      </c>
      <c r="E8" s="3">
        <v>0</v>
      </c>
      <c r="F8" s="7">
        <v>79.36</v>
      </c>
      <c r="G8" s="7">
        <v>18.23</v>
      </c>
      <c r="H8" s="2" t="s">
        <v>1181</v>
      </c>
      <c r="I8" s="2" t="s">
        <v>1182</v>
      </c>
    </row>
    <row r="9" spans="1:9" s="1" customFormat="1" ht="13.8" x14ac:dyDescent="0.25">
      <c r="A9" s="6" t="s">
        <v>70</v>
      </c>
      <c r="B9" s="7" t="s">
        <v>1387</v>
      </c>
      <c r="C9" s="7">
        <v>6.77</v>
      </c>
      <c r="D9" s="7">
        <v>2.7591558338002722</v>
      </c>
      <c r="E9" s="3">
        <v>0</v>
      </c>
      <c r="F9" s="7">
        <v>119.26</v>
      </c>
      <c r="G9" s="7">
        <v>17.62</v>
      </c>
      <c r="H9" s="2" t="s">
        <v>71</v>
      </c>
      <c r="I9" s="2" t="s">
        <v>72</v>
      </c>
    </row>
    <row r="10" spans="1:9" s="1" customFormat="1" ht="13.8" x14ac:dyDescent="0.25">
      <c r="A10" s="6" t="s">
        <v>55</v>
      </c>
      <c r="B10" s="7" t="s">
        <v>1387</v>
      </c>
      <c r="C10" s="7">
        <v>17.61</v>
      </c>
      <c r="D10" s="7">
        <v>4.1383230040564838</v>
      </c>
      <c r="E10" s="3">
        <v>0</v>
      </c>
      <c r="F10" s="7">
        <v>123.92</v>
      </c>
      <c r="G10" s="7">
        <v>7.04</v>
      </c>
      <c r="H10" s="2" t="s">
        <v>56</v>
      </c>
      <c r="I10" s="2" t="s">
        <v>57</v>
      </c>
    </row>
  </sheetData>
  <mergeCells count="6">
    <mergeCell ref="A1:I1"/>
    <mergeCell ref="A2:A3"/>
    <mergeCell ref="C2:C3"/>
    <mergeCell ref="D2:D3"/>
    <mergeCell ref="H2:I2"/>
    <mergeCell ref="B2:B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519 genes</vt:lpstr>
      <vt:lpstr>19 transcription factor genes</vt:lpstr>
      <vt:lpstr>7 regulatory genes in GRNs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2014-03-19T18:54:07Z</dcterms:modified>
</cp:coreProperties>
</file>